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371ada994568ecf/Documents/NotenMeister/"/>
    </mc:Choice>
  </mc:AlternateContent>
  <xr:revisionPtr revIDLastSave="3191" documentId="8_{4342700A-DEFB-421A-ACFF-696C58F762EF}" xr6:coauthVersionLast="47" xr6:coauthVersionMax="47" xr10:uidLastSave="{63A594C7-DAE8-4F36-BD8C-C15C118D792F}"/>
  <bookViews>
    <workbookView xWindow="-28440" yWindow="30" windowWidth="28770" windowHeight="15450" tabRatio="878" activeTab="5" xr2:uid="{8D307EC7-DAD3-43F5-9707-4A2293615124}"/>
  </bookViews>
  <sheets>
    <sheet name="Klasse Steuerfeld" sheetId="16" r:id="rId1"/>
    <sheet name="Prüfung Steuerfeld" sheetId="15" r:id="rId2"/>
    <sheet name="PrüfungÜbersichtVorlage" sheetId="7" r:id="rId3"/>
    <sheet name="PrüfungKlassenlisteVorlage" sheetId="5" r:id="rId4"/>
    <sheet name="PrüfungDeckblattVorlage" sheetId="6" r:id="rId5"/>
    <sheet name="KlassenbogenVorlage" sheetId="3" r:id="rId6"/>
    <sheet name="SchülerbogenVorlage" sheetId="4" r:id="rId7"/>
    <sheet name="SchülerbeobachtungVorlage" sheetId="14" r:id="rId8"/>
    <sheet name="Datenbank" sheetId="8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4" i="7" l="1"/>
  <c r="I5" i="7"/>
  <c r="I6" i="7"/>
  <c r="I7" i="7"/>
  <c r="I8" i="7"/>
  <c r="I9" i="7"/>
  <c r="I4" i="7"/>
  <c r="H5" i="7"/>
  <c r="J12" i="7"/>
  <c r="H4" i="7"/>
  <c r="C9" i="4"/>
  <c r="C10" i="4"/>
  <c r="C11" i="4"/>
  <c r="C12" i="4"/>
  <c r="C13" i="4"/>
  <c r="C14" i="4"/>
  <c r="C15" i="4"/>
  <c r="C16" i="4"/>
  <c r="C28" i="5" l="1"/>
  <c r="P7" i="7"/>
  <c r="P6" i="7"/>
  <c r="P8" i="7"/>
  <c r="P5" i="7"/>
  <c r="P4" i="7"/>
  <c r="P3" i="7"/>
  <c r="J13" i="7"/>
  <c r="B6" i="3"/>
  <c r="H6" i="7"/>
  <c r="J11" i="7" l="1"/>
  <c r="H7" i="7"/>
  <c r="H8" i="7" l="1"/>
  <c r="H9" i="7" l="1"/>
</calcChain>
</file>

<file path=xl/sharedStrings.xml><?xml version="1.0" encoding="utf-8"?>
<sst xmlns="http://schemas.openxmlformats.org/spreadsheetml/2006/main" count="159" uniqueCount="125">
  <si>
    <t>Geburtstag:</t>
  </si>
  <si>
    <t>Religion:</t>
  </si>
  <si>
    <t>Geschlecht:</t>
  </si>
  <si>
    <t>Vorname:</t>
  </si>
  <si>
    <t>Nachname:</t>
  </si>
  <si>
    <t>Jahrgang:</t>
  </si>
  <si>
    <t>Klasse:</t>
  </si>
  <si>
    <t>Klassenbogen Übersicht Gesamt</t>
  </si>
  <si>
    <t>Noten:</t>
  </si>
  <si>
    <t>⌀</t>
  </si>
  <si>
    <t xml:space="preserve">Typ: </t>
  </si>
  <si>
    <t>Fach</t>
  </si>
  <si>
    <t>5.5.22</t>
  </si>
  <si>
    <t>Datum</t>
  </si>
  <si>
    <t>Hase</t>
  </si>
  <si>
    <t>Thema</t>
  </si>
  <si>
    <t>01.01.1990</t>
  </si>
  <si>
    <t>Geb. Datum</t>
  </si>
  <si>
    <t>Murat Muhammad</t>
  </si>
  <si>
    <t>Mustermann</t>
  </si>
  <si>
    <t>Name:</t>
  </si>
  <si>
    <t>Schülerbogen</t>
  </si>
  <si>
    <t>Note</t>
  </si>
  <si>
    <t>Fehler</t>
  </si>
  <si>
    <t>Max. Punkte:</t>
  </si>
  <si>
    <t>Notenschlüssel</t>
  </si>
  <si>
    <t>Bemerkung</t>
  </si>
  <si>
    <t>Punkte</t>
  </si>
  <si>
    <t>Typ:</t>
  </si>
  <si>
    <t>Fach:</t>
  </si>
  <si>
    <t>4D</t>
  </si>
  <si>
    <t>4C</t>
  </si>
  <si>
    <t>Atheist</t>
  </si>
  <si>
    <t>4B</t>
  </si>
  <si>
    <t>Musik</t>
  </si>
  <si>
    <t>Sonst</t>
  </si>
  <si>
    <t>4A</t>
  </si>
  <si>
    <t>Mathematik</t>
  </si>
  <si>
    <t>Ortho</t>
  </si>
  <si>
    <t>3D</t>
  </si>
  <si>
    <t>Kunst</t>
  </si>
  <si>
    <t>Islam</t>
  </si>
  <si>
    <t>3C</t>
  </si>
  <si>
    <t>MÜN</t>
  </si>
  <si>
    <t>HSU</t>
  </si>
  <si>
    <t>Weiblich</t>
  </si>
  <si>
    <t>Evan</t>
  </si>
  <si>
    <t>3B</t>
  </si>
  <si>
    <t>PRA</t>
  </si>
  <si>
    <t>Ethik</t>
  </si>
  <si>
    <t>Männlich</t>
  </si>
  <si>
    <t>RömKat</t>
  </si>
  <si>
    <t>3A</t>
  </si>
  <si>
    <t>SLN</t>
  </si>
  <si>
    <t>Deutsch</t>
  </si>
  <si>
    <t>Geschlecht</t>
  </si>
  <si>
    <t>Religion</t>
  </si>
  <si>
    <t>Klasse</t>
  </si>
  <si>
    <t>Typ</t>
  </si>
  <si>
    <t>Neuen Schüler anlegen==&gt;</t>
  </si>
  <si>
    <t>Divers</t>
  </si>
  <si>
    <t>Schuljahr</t>
  </si>
  <si>
    <t>2019/2020</t>
  </si>
  <si>
    <t>2020/2021</t>
  </si>
  <si>
    <t>2021/2022</t>
  </si>
  <si>
    <t>2022/2023</t>
  </si>
  <si>
    <t>2024/2025</t>
  </si>
  <si>
    <t>2025/2026</t>
  </si>
  <si>
    <t>2026/2027</t>
  </si>
  <si>
    <t>2027/2028</t>
  </si>
  <si>
    <t>2028/2029</t>
  </si>
  <si>
    <t>2029/2030</t>
  </si>
  <si>
    <t>2030/2031</t>
  </si>
  <si>
    <t>2031/2032</t>
  </si>
  <si>
    <t>Datum:</t>
  </si>
  <si>
    <t>Thema:</t>
  </si>
  <si>
    <t>Prozente</t>
  </si>
  <si>
    <t>Prozent</t>
  </si>
  <si>
    <t>Schwerpunkt</t>
  </si>
  <si>
    <t>Quintessenz</t>
  </si>
  <si>
    <t>Sonstiges</t>
  </si>
  <si>
    <t>Kopernikus Schule</t>
  </si>
  <si>
    <t>Schülerzahl:</t>
  </si>
  <si>
    <t>Maximale Punktzahl:</t>
  </si>
  <si>
    <t>Von</t>
  </si>
  <si>
    <t>Bis</t>
  </si>
  <si>
    <t>Anwesend</t>
  </si>
  <si>
    <t>01.01.1970</t>
  </si>
  <si>
    <t>Ja</t>
  </si>
  <si>
    <t>Nein</t>
  </si>
  <si>
    <t>Vorname</t>
  </si>
  <si>
    <t>Nachname</t>
  </si>
  <si>
    <t>lorem ipsum</t>
  </si>
  <si>
    <t>dolor sit amet</t>
  </si>
  <si>
    <t>consectetur</t>
  </si>
  <si>
    <t>adulescent dolunt</t>
  </si>
  <si>
    <t>ab</t>
  </si>
  <si>
    <t>Anwesend:</t>
  </si>
  <si>
    <t>Abwesend:</t>
  </si>
  <si>
    <t>Fehlend:</t>
  </si>
  <si>
    <t>Gesamtzahl:</t>
  </si>
  <si>
    <t>TODOS:</t>
  </si>
  <si>
    <t>BUGS:</t>
  </si>
  <si>
    <t>Wenn SuS wieder auf Anwesend gesetzt wird bleib Name in Fehlliste!</t>
  </si>
  <si>
    <t>Noten bitte nachprüfen. Teils hängt es bei den hohen Randsummen</t>
  </si>
  <si>
    <t>Notenschnitt:</t>
  </si>
  <si>
    <t>Schwerpunkt:</t>
  </si>
  <si>
    <t>Quintessenz:</t>
  </si>
  <si>
    <t>Sonstiges:</t>
  </si>
  <si>
    <t>Anzahl</t>
  </si>
  <si>
    <t>%</t>
  </si>
  <si>
    <t>Punkte Ø</t>
  </si>
  <si>
    <t>Note Ø</t>
  </si>
  <si>
    <t>Ø</t>
  </si>
  <si>
    <t>Note eintragen einzelschüler</t>
  </si>
  <si>
    <t>Schülerbeobachtung</t>
  </si>
  <si>
    <t>Schülerbeobachtung:</t>
  </si>
  <si>
    <t>Schuljahr:</t>
  </si>
  <si>
    <t>Formular dafür bauen und dies als Vorlage nehmen</t>
  </si>
  <si>
    <t>Zieht die Daten aus der Prüfung und gibt nochmal übersicht</t>
  </si>
  <si>
    <t xml:space="preserve">Neue Prüfung anlegen: </t>
  </si>
  <si>
    <t>In Formularbauer aufnehmen</t>
  </si>
  <si>
    <t>neu verlinken und als modul setzen</t>
  </si>
  <si>
    <t>Neue Klasse anlegen:</t>
  </si>
  <si>
    <t>Leitung: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</si>
</sst>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8" fillId="0" borderId="0" applyFont="0" applyFill="0" applyBorder="0" applyAlignment="0" applyProtection="0"/>
    <xf numFmtId="0" fontId="10" fillId="0" borderId="0" applyNumberFormat="0" applyFill="0" applyBorder="0" applyAlignment="0" applyProtection="0"/>
  </cellStyleXfs>
  <cellXfs count="205">
    <xf numFmtId="0" fontId="0" fillId="0" borderId="0" xfId="0"/>
    <xf numFmtId="0" fontId="0" fillId="0" borderId="1" xfId="0" applyBorder="1"/>
    <xf numFmtId="0" fontId="0" fillId="0" borderId="2" xfId="0" applyBorder="1"/>
    <xf numFmtId="0" fontId="1" fillId="0" borderId="4" xfId="0" applyFont="1" applyBorder="1"/>
    <xf numFmtId="0" fontId="1" fillId="0" borderId="5" xfId="0" applyFont="1" applyBorder="1"/>
    <xf numFmtId="0" fontId="1" fillId="0" borderId="6" xfId="0" applyFont="1" applyBorder="1"/>
    <xf numFmtId="0" fontId="2" fillId="0" borderId="0" xfId="0" applyFont="1"/>
    <xf numFmtId="0" fontId="0" fillId="4" borderId="7" xfId="0" applyFill="1" applyBorder="1"/>
    <xf numFmtId="0" fontId="1" fillId="3" borderId="9" xfId="0" applyFont="1" applyFill="1" applyBorder="1"/>
    <xf numFmtId="0" fontId="1" fillId="0" borderId="8" xfId="0" applyFont="1" applyBorder="1"/>
    <xf numFmtId="0" fontId="0" fillId="0" borderId="6" xfId="0" applyBorder="1"/>
    <xf numFmtId="2" fontId="0" fillId="0" borderId="0" xfId="0" applyNumberFormat="1"/>
    <xf numFmtId="0" fontId="0" fillId="0" borderId="16" xfId="0" applyBorder="1"/>
    <xf numFmtId="0" fontId="0" fillId="0" borderId="17" xfId="0" applyBorder="1"/>
    <xf numFmtId="0" fontId="0" fillId="0" borderId="18" xfId="0" applyBorder="1"/>
    <xf numFmtId="2" fontId="0" fillId="5" borderId="12" xfId="0" applyNumberFormat="1" applyFill="1" applyBorder="1"/>
    <xf numFmtId="0" fontId="0" fillId="0" borderId="19" xfId="0" applyBorder="1"/>
    <xf numFmtId="0" fontId="0" fillId="0" borderId="20" xfId="0" applyBorder="1"/>
    <xf numFmtId="0" fontId="0" fillId="0" borderId="21" xfId="0" applyBorder="1"/>
    <xf numFmtId="2" fontId="0" fillId="5" borderId="9" xfId="0" applyNumberFormat="1" applyFill="1" applyBorder="1"/>
    <xf numFmtId="0" fontId="0" fillId="6" borderId="7" xfId="0" applyFill="1" applyBorder="1"/>
    <xf numFmtId="2" fontId="4" fillId="7" borderId="11" xfId="0" applyNumberFormat="1" applyFont="1" applyFill="1" applyBorder="1" applyAlignment="1">
      <alignment horizontal="center"/>
    </xf>
    <xf numFmtId="0" fontId="5" fillId="7" borderId="11" xfId="0" applyFont="1" applyFill="1" applyBorder="1"/>
    <xf numFmtId="0" fontId="5" fillId="7" borderId="12" xfId="0" applyFont="1" applyFill="1" applyBorder="1"/>
    <xf numFmtId="14" fontId="0" fillId="0" borderId="22" xfId="0" applyNumberFormat="1" applyBorder="1"/>
    <xf numFmtId="14" fontId="0" fillId="0" borderId="23" xfId="0" applyNumberFormat="1" applyBorder="1"/>
    <xf numFmtId="14" fontId="0" fillId="0" borderId="24" xfId="0" applyNumberFormat="1" applyBorder="1"/>
    <xf numFmtId="0" fontId="0" fillId="3" borderId="4" xfId="0" applyFill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3" borderId="3" xfId="0" applyFill="1" applyBorder="1"/>
    <xf numFmtId="0" fontId="0" fillId="3" borderId="1" xfId="0" applyFill="1" applyBorder="1"/>
    <xf numFmtId="0" fontId="0" fillId="3" borderId="14" xfId="0" applyFill="1" applyBorder="1"/>
    <xf numFmtId="0" fontId="0" fillId="3" borderId="9" xfId="0" applyFill="1" applyBorder="1"/>
    <xf numFmtId="0" fontId="1" fillId="0" borderId="0" xfId="0" applyFont="1"/>
    <xf numFmtId="2" fontId="1" fillId="0" borderId="0" xfId="0" applyNumberFormat="1" applyFont="1"/>
    <xf numFmtId="0" fontId="0" fillId="0" borderId="5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49" fontId="0" fillId="0" borderId="3" xfId="0" applyNumberFormat="1" applyBorder="1"/>
    <xf numFmtId="49" fontId="0" fillId="0" borderId="2" xfId="0" applyNumberFormat="1" applyBorder="1"/>
    <xf numFmtId="49" fontId="0" fillId="0" borderId="1" xfId="0" applyNumberFormat="1" applyBorder="1"/>
    <xf numFmtId="49" fontId="1" fillId="3" borderId="6" xfId="0" applyNumberFormat="1" applyFont="1" applyFill="1" applyBorder="1"/>
    <xf numFmtId="49" fontId="1" fillId="3" borderId="5" xfId="0" applyNumberFormat="1" applyFont="1" applyFill="1" applyBorder="1"/>
    <xf numFmtId="49" fontId="1" fillId="3" borderId="4" xfId="0" applyNumberFormat="1" applyFont="1" applyFill="1" applyBorder="1"/>
    <xf numFmtId="0" fontId="9" fillId="8" borderId="0" xfId="0" applyFont="1" applyFill="1"/>
    <xf numFmtId="0" fontId="9" fillId="3" borderId="6" xfId="0" applyFont="1" applyFill="1" applyBorder="1"/>
    <xf numFmtId="9" fontId="0" fillId="0" borderId="0" xfId="1" applyFont="1" applyBorder="1"/>
    <xf numFmtId="9" fontId="0" fillId="0" borderId="0" xfId="1" applyFont="1"/>
    <xf numFmtId="0" fontId="0" fillId="10" borderId="7" xfId="0" applyFill="1" applyBorder="1" applyAlignment="1">
      <alignment horizontal="center"/>
    </xf>
    <xf numFmtId="0" fontId="0" fillId="3" borderId="0" xfId="0" applyFill="1"/>
    <xf numFmtId="0" fontId="10" fillId="0" borderId="0" xfId="2"/>
    <xf numFmtId="0" fontId="5" fillId="0" borderId="0" xfId="0" applyFont="1"/>
    <xf numFmtId="1" fontId="0" fillId="0" borderId="0" xfId="0" applyNumberFormat="1" applyAlignment="1">
      <alignment horizontal="center"/>
    </xf>
    <xf numFmtId="1" fontId="0" fillId="0" borderId="15" xfId="0" applyNumberFormat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0" fillId="9" borderId="1" xfId="0" applyFill="1" applyBorder="1"/>
    <xf numFmtId="0" fontId="0" fillId="9" borderId="9" xfId="0" applyFill="1" applyBorder="1"/>
    <xf numFmtId="0" fontId="0" fillId="9" borderId="4" xfId="0" applyFill="1" applyBorder="1"/>
    <xf numFmtId="2" fontId="0" fillId="3" borderId="0" xfId="0" applyNumberFormat="1" applyFill="1"/>
    <xf numFmtId="164" fontId="0" fillId="0" borderId="0" xfId="0" applyNumberFormat="1"/>
    <xf numFmtId="10" fontId="0" fillId="0" borderId="0" xfId="0" applyNumberFormat="1"/>
    <xf numFmtId="1" fontId="0" fillId="0" borderId="7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14" borderId="3" xfId="0" applyFill="1" applyBorder="1" applyAlignment="1">
      <alignment horizontal="left"/>
    </xf>
    <xf numFmtId="0" fontId="0" fillId="14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8" xfId="0" applyFill="1" applyBorder="1"/>
    <xf numFmtId="0" fontId="0" fillId="9" borderId="8" xfId="0" applyFill="1" applyBorder="1"/>
    <xf numFmtId="2" fontId="0" fillId="4" borderId="8" xfId="0" applyNumberFormat="1" applyFill="1" applyBorder="1"/>
    <xf numFmtId="164" fontId="0" fillId="9" borderId="8" xfId="0" applyNumberFormat="1" applyFill="1" applyBorder="1"/>
    <xf numFmtId="10" fontId="0" fillId="4" borderId="8" xfId="0" applyNumberFormat="1" applyFill="1" applyBorder="1"/>
    <xf numFmtId="14" fontId="2" fillId="12" borderId="0" xfId="0" applyNumberFormat="1" applyFont="1" applyFill="1"/>
    <xf numFmtId="164" fontId="0" fillId="3" borderId="0" xfId="0" applyNumberFormat="1" applyFill="1"/>
    <xf numFmtId="10" fontId="0" fillId="3" borderId="0" xfId="0" applyNumberFormat="1" applyFill="1"/>
    <xf numFmtId="0" fontId="0" fillId="10" borderId="13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11" borderId="13" xfId="0" applyFill="1" applyBorder="1" applyAlignment="1">
      <alignment horizontal="center"/>
    </xf>
    <xf numFmtId="9" fontId="0" fillId="0" borderId="14" xfId="1" applyFont="1" applyBorder="1"/>
    <xf numFmtId="9" fontId="0" fillId="0" borderId="3" xfId="1" applyFont="1" applyBorder="1"/>
    <xf numFmtId="9" fontId="0" fillId="0" borderId="6" xfId="0" applyNumberFormat="1" applyBorder="1"/>
    <xf numFmtId="1" fontId="0" fillId="0" borderId="13" xfId="0" applyNumberFormat="1" applyBorder="1" applyAlignment="1">
      <alignment horizontal="center"/>
    </xf>
    <xf numFmtId="0" fontId="0" fillId="0" borderId="4" xfId="0" applyBorder="1"/>
    <xf numFmtId="0" fontId="0" fillId="7" borderId="1" xfId="0" applyFill="1" applyBorder="1"/>
    <xf numFmtId="0" fontId="0" fillId="7" borderId="0" xfId="0" applyFill="1"/>
    <xf numFmtId="0" fontId="0" fillId="7" borderId="4" xfId="0" applyFill="1" applyBorder="1"/>
    <xf numFmtId="0" fontId="0" fillId="7" borderId="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3" xfId="0" applyFill="1" applyBorder="1"/>
    <xf numFmtId="0" fontId="0" fillId="7" borderId="15" xfId="0" applyFill="1" applyBorder="1"/>
    <xf numFmtId="0" fontId="0" fillId="7" borderId="6" xfId="0" applyFill="1" applyBorder="1"/>
    <xf numFmtId="0" fontId="0" fillId="16" borderId="1" xfId="0" applyFill="1" applyBorder="1" applyAlignment="1">
      <alignment horizontal="center"/>
    </xf>
    <xf numFmtId="1" fontId="0" fillId="16" borderId="0" xfId="0" applyNumberFormat="1" applyFill="1" applyAlignment="1">
      <alignment horizontal="center"/>
    </xf>
    <xf numFmtId="0" fontId="0" fillId="16" borderId="4" xfId="0" applyFill="1" applyBorder="1" applyAlignment="1">
      <alignment horizontal="center"/>
    </xf>
    <xf numFmtId="1" fontId="0" fillId="16" borderId="15" xfId="0" applyNumberFormat="1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1" fontId="0" fillId="9" borderId="8" xfId="0" applyNumberForma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" fontId="0" fillId="9" borderId="0" xfId="0" applyNumberFormat="1" applyFill="1" applyAlignment="1">
      <alignment horizontal="center"/>
    </xf>
    <xf numFmtId="0" fontId="0" fillId="10" borderId="12" xfId="0" applyFill="1" applyBorder="1"/>
    <xf numFmtId="0" fontId="0" fillId="10" borderId="11" xfId="0" applyFill="1" applyBorder="1"/>
    <xf numFmtId="0" fontId="1" fillId="10" borderId="10" xfId="0" applyFont="1" applyFill="1" applyBorder="1" applyAlignment="1">
      <alignment horizontal="center"/>
    </xf>
    <xf numFmtId="0" fontId="5" fillId="16" borderId="12" xfId="0" applyFont="1" applyFill="1" applyBorder="1"/>
    <xf numFmtId="0" fontId="5" fillId="16" borderId="11" xfId="0" applyFont="1" applyFill="1" applyBorder="1"/>
    <xf numFmtId="0" fontId="5" fillId="16" borderId="10" xfId="0" applyFont="1" applyFill="1" applyBorder="1"/>
    <xf numFmtId="14" fontId="5" fillId="16" borderId="8" xfId="0" applyNumberFormat="1" applyFont="1" applyFill="1" applyBorder="1"/>
    <xf numFmtId="2" fontId="5" fillId="16" borderId="14" xfId="0" applyNumberFormat="1" applyFont="1" applyFill="1" applyBorder="1"/>
    <xf numFmtId="0" fontId="0" fillId="16" borderId="1" xfId="0" applyFill="1" applyBorder="1"/>
    <xf numFmtId="0" fontId="0" fillId="16" borderId="4" xfId="0" applyFill="1" applyBorder="1"/>
    <xf numFmtId="0" fontId="2" fillId="16" borderId="1" xfId="0" applyFont="1" applyFill="1" applyBorder="1"/>
    <xf numFmtId="0" fontId="2" fillId="16" borderId="0" xfId="0" applyFont="1" applyFill="1"/>
    <xf numFmtId="0" fontId="0" fillId="15" borderId="1" xfId="0" applyFill="1" applyBorder="1"/>
    <xf numFmtId="0" fontId="0" fillId="15" borderId="0" xfId="0" applyFill="1"/>
    <xf numFmtId="0" fontId="0" fillId="13" borderId="1" xfId="0" applyFill="1" applyBorder="1"/>
    <xf numFmtId="0" fontId="2" fillId="13" borderId="0" xfId="0" applyFont="1" applyFill="1"/>
    <xf numFmtId="0" fontId="0" fillId="13" borderId="9" xfId="0" applyFill="1" applyBorder="1"/>
    <xf numFmtId="0" fontId="1" fillId="3" borderId="29" xfId="0" applyFont="1" applyFill="1" applyBorder="1"/>
    <xf numFmtId="0" fontId="1" fillId="3" borderId="30" xfId="0" applyFont="1" applyFill="1" applyBorder="1"/>
    <xf numFmtId="2" fontId="1" fillId="3" borderId="30" xfId="0" applyNumberFormat="1" applyFont="1" applyFill="1" applyBorder="1"/>
    <xf numFmtId="164" fontId="1" fillId="3" borderId="30" xfId="0" applyNumberFormat="1" applyFont="1" applyFill="1" applyBorder="1"/>
    <xf numFmtId="10" fontId="1" fillId="3" borderId="30" xfId="0" applyNumberFormat="1" applyFont="1" applyFill="1" applyBorder="1"/>
    <xf numFmtId="0" fontId="1" fillId="3" borderId="31" xfId="0" applyFont="1" applyFill="1" applyBorder="1"/>
    <xf numFmtId="0" fontId="0" fillId="0" borderId="32" xfId="0" applyBorder="1"/>
    <xf numFmtId="0" fontId="0" fillId="0" borderId="28" xfId="0" applyBorder="1"/>
    <xf numFmtId="1" fontId="0" fillId="0" borderId="28" xfId="0" applyNumberFormat="1" applyBorder="1"/>
    <xf numFmtId="164" fontId="0" fillId="0" borderId="28" xfId="0" applyNumberFormat="1" applyBorder="1"/>
    <xf numFmtId="9" fontId="0" fillId="0" borderId="28" xfId="1" applyFont="1" applyBorder="1"/>
    <xf numFmtId="49" fontId="0" fillId="0" borderId="33" xfId="0" applyNumberFormat="1" applyBorder="1"/>
    <xf numFmtId="0" fontId="13" fillId="3" borderId="9" xfId="0" applyFont="1" applyFill="1" applyBorder="1" applyAlignment="1">
      <alignment horizontal="left"/>
    </xf>
    <xf numFmtId="0" fontId="13" fillId="3" borderId="1" xfId="0" applyFont="1" applyFill="1" applyBorder="1" applyAlignment="1">
      <alignment horizontal="left"/>
    </xf>
    <xf numFmtId="2" fontId="0" fillId="3" borderId="3" xfId="0" applyNumberFormat="1" applyFill="1" applyBorder="1"/>
    <xf numFmtId="1" fontId="0" fillId="0" borderId="0" xfId="0" applyNumberFormat="1"/>
    <xf numFmtId="0" fontId="1" fillId="3" borderId="12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center"/>
    </xf>
    <xf numFmtId="0" fontId="1" fillId="11" borderId="12" xfId="0" applyFont="1" applyFill="1" applyBorder="1" applyAlignment="1">
      <alignment horizontal="center"/>
    </xf>
    <xf numFmtId="0" fontId="1" fillId="11" borderId="10" xfId="0" applyFont="1" applyFill="1" applyBorder="1" applyAlignment="1">
      <alignment horizontal="center"/>
    </xf>
    <xf numFmtId="0" fontId="1" fillId="3" borderId="9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15" borderId="12" xfId="0" applyFont="1" applyFill="1" applyBorder="1" applyAlignment="1">
      <alignment horizontal="center"/>
    </xf>
    <xf numFmtId="0" fontId="1" fillId="15" borderId="11" xfId="0" applyFont="1" applyFill="1" applyBorder="1" applyAlignment="1">
      <alignment horizontal="center"/>
    </xf>
    <xf numFmtId="0" fontId="1" fillId="15" borderId="1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6" xfId="0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12" fillId="15" borderId="12" xfId="0" applyFont="1" applyFill="1" applyBorder="1" applyAlignment="1">
      <alignment horizontal="center"/>
    </xf>
    <xf numFmtId="0" fontId="12" fillId="15" borderId="11" xfId="0" applyFont="1" applyFill="1" applyBorder="1" applyAlignment="1">
      <alignment horizontal="center"/>
    </xf>
    <xf numFmtId="0" fontId="12" fillId="15" borderId="10" xfId="0" applyFont="1" applyFill="1" applyBorder="1" applyAlignment="1">
      <alignment horizontal="center"/>
    </xf>
    <xf numFmtId="0" fontId="3" fillId="3" borderId="9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3" fillId="3" borderId="14" xfId="0" applyFont="1" applyFill="1" applyBorder="1" applyAlignment="1">
      <alignment horizontal="center"/>
    </xf>
    <xf numFmtId="0" fontId="0" fillId="16" borderId="15" xfId="0" applyFill="1" applyBorder="1" applyAlignment="1">
      <alignment horizontal="left"/>
    </xf>
    <xf numFmtId="0" fontId="0" fillId="16" borderId="6" xfId="0" applyFill="1" applyBorder="1" applyAlignment="1">
      <alignment horizontal="left"/>
    </xf>
    <xf numFmtId="0" fontId="11" fillId="2" borderId="9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11" fillId="2" borderId="14" xfId="0" applyFont="1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14" xfId="0" applyFill="1" applyBorder="1" applyAlignment="1">
      <alignment horizontal="left"/>
    </xf>
    <xf numFmtId="0" fontId="0" fillId="16" borderId="0" xfId="0" applyFill="1" applyAlignment="1">
      <alignment horizontal="left"/>
    </xf>
    <xf numFmtId="0" fontId="0" fillId="16" borderId="3" xfId="0" applyFill="1" applyBorder="1" applyAlignment="1">
      <alignment horizontal="left"/>
    </xf>
    <xf numFmtId="0" fontId="0" fillId="13" borderId="0" xfId="0" applyFill="1" applyAlignment="1">
      <alignment horizontal="left"/>
    </xf>
    <xf numFmtId="0" fontId="0" fillId="13" borderId="3" xfId="0" applyFill="1" applyBorder="1" applyAlignment="1">
      <alignment horizontal="left"/>
    </xf>
    <xf numFmtId="0" fontId="5" fillId="16" borderId="11" xfId="0" applyFont="1" applyFill="1" applyBorder="1" applyAlignment="1">
      <alignment horizontal="left"/>
    </xf>
    <xf numFmtId="0" fontId="0" fillId="14" borderId="0" xfId="0" applyFill="1" applyAlignment="1">
      <alignment horizontal="left"/>
    </xf>
    <xf numFmtId="0" fontId="0" fillId="14" borderId="3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3" xfId="0" applyFill="1" applyBorder="1" applyAlignment="1">
      <alignment horizontal="left"/>
    </xf>
    <xf numFmtId="0" fontId="0" fillId="10" borderId="0" xfId="0" applyFill="1" applyAlignment="1">
      <alignment horizontal="center"/>
    </xf>
    <xf numFmtId="0" fontId="0" fillId="10" borderId="3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14" borderId="15" xfId="0" applyFill="1" applyBorder="1" applyAlignment="1">
      <alignment horizontal="left"/>
    </xf>
    <xf numFmtId="0" fontId="0" fillId="14" borderId="6" xfId="0" applyFill="1" applyBorder="1" applyAlignment="1">
      <alignment horizontal="left"/>
    </xf>
    <xf numFmtId="14" fontId="1" fillId="3" borderId="15" xfId="0" applyNumberFormat="1" applyFont="1" applyFill="1" applyBorder="1"/>
    <xf numFmtId="14" fontId="0" fillId="0" borderId="1" xfId="0" applyNumberFormat="1" applyBorder="1"/>
    <xf numFmtId="14" fontId="0" fillId="0" borderId="0" xfId="0" applyNumberFormat="1" applyBorder="1"/>
    <xf numFmtId="14" fontId="0" fillId="0" borderId="3" xfId="0" applyNumberFormat="1" applyBorder="1"/>
    <xf numFmtId="14" fontId="1" fillId="3" borderId="6" xfId="0" applyNumberFormat="1" applyFont="1" applyFill="1" applyBorder="1"/>
    <xf numFmtId="2" fontId="1" fillId="7" borderId="14" xfId="0" applyNumberFormat="1" applyFont="1" applyFill="1" applyBorder="1"/>
    <xf numFmtId="0" fontId="0" fillId="9" borderId="3" xfId="0" applyFill="1" applyBorder="1"/>
    <xf numFmtId="0" fontId="1" fillId="17" borderId="0" xfId="0" applyFont="1" applyFill="1" applyAlignment="1">
      <alignment horizontal="center" vertical="center"/>
    </xf>
    <xf numFmtId="0" fontId="1" fillId="17" borderId="15" xfId="0" applyFont="1" applyFill="1" applyBorder="1" applyAlignment="1">
      <alignment horizontal="center" vertical="center"/>
    </xf>
    <xf numFmtId="0" fontId="0" fillId="18" borderId="0" xfId="0" applyFill="1" applyAlignment="1">
      <alignment horizontal="center"/>
    </xf>
    <xf numFmtId="0" fontId="5" fillId="16" borderId="12" xfId="0" applyFont="1" applyFill="1" applyBorder="1" applyAlignment="1"/>
    <xf numFmtId="0" fontId="1" fillId="3" borderId="34" xfId="0" applyFont="1" applyFill="1" applyBorder="1"/>
    <xf numFmtId="1" fontId="0" fillId="9" borderId="7" xfId="0" applyNumberFormat="1" applyFill="1" applyBorder="1" applyAlignment="1">
      <alignment horizontal="center"/>
    </xf>
    <xf numFmtId="1" fontId="0" fillId="16" borderId="2" xfId="0" applyNumberFormat="1" applyFill="1" applyBorder="1" applyAlignment="1">
      <alignment horizontal="center"/>
    </xf>
    <xf numFmtId="1" fontId="0" fillId="9" borderId="2" xfId="0" applyNumberFormat="1" applyFill="1" applyBorder="1" applyAlignment="1">
      <alignment horizontal="center"/>
    </xf>
    <xf numFmtId="1" fontId="0" fillId="16" borderId="5" xfId="0" applyNumberFormat="1" applyFill="1" applyBorder="1" applyAlignment="1">
      <alignment horizontal="center"/>
    </xf>
    <xf numFmtId="0" fontId="0" fillId="5" borderId="0" xfId="0" applyFill="1"/>
    <xf numFmtId="0" fontId="1" fillId="3" borderId="11" xfId="0" applyFont="1" applyFill="1" applyBorder="1" applyAlignment="1"/>
    <xf numFmtId="0" fontId="1" fillId="3" borderId="10" xfId="0" applyFont="1" applyFill="1" applyBorder="1" applyAlignment="1"/>
  </cellXfs>
  <cellStyles count="3">
    <cellStyle name="Hyperlink" xfId="2" builtinId="8"/>
    <cellStyle name="Normal" xfId="0" builtinId="0"/>
    <cellStyle name="Percent" xfId="1" builtinId="5"/>
  </cellStyles>
  <dxfs count="50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outline="0">
        <bottom style="thin">
          <color indexed="64"/>
        </bottom>
      </border>
    </dxf>
    <dxf>
      <border outline="0">
        <top style="medium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/>
        <top/>
        <bottom/>
      </border>
    </dxf>
    <dxf>
      <numFmt numFmtId="30" formatCode="@"/>
      <border diagonalUp="0" diagonalDown="0" outline="0">
        <left style="medium">
          <color indexed="64"/>
        </left>
        <right/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 outline="0">
        <left/>
        <right style="medium">
          <color indexed="64"/>
        </right>
        <top/>
        <bottom/>
      </border>
    </dxf>
    <dxf>
      <numFmt numFmtId="30" formatCode="@"/>
      <border diagonalUp="0" diagonalDown="0" outline="0">
        <left/>
        <right style="medium">
          <color indexed="64"/>
        </right>
        <top/>
        <bottom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numFmt numFmtId="30" formatCode="@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solid">
          <fgColor indexed="64"/>
          <bgColor theme="2" tint="-9.9978637043366805E-2"/>
        </patternFill>
      </fill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numFmt numFmtId="30" formatCode="@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9.9978637043366805E-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 diagonalUp="0" diagonalDown="0" outline="0">
        <left style="medium">
          <color indexed="64"/>
        </left>
        <right/>
        <top/>
        <bottom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border diagonalUp="0" diagonalDown="0" outline="0">
        <left/>
        <right style="medium">
          <color indexed="64"/>
        </right>
        <top/>
        <bottom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Notenspiegel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9.5109794444011325E-2"/>
          <c:y val="0.16429678848283499"/>
          <c:w val="0.90132896754242353"/>
          <c:h val="0.6390108213217533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PrüfungÜbersichtVorlage!$P$2</c:f>
              <c:strCache>
                <c:ptCount val="1"/>
                <c:pt idx="0">
                  <c:v>Anzahl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PrüfungÜbersichtVorlage!$P$3:$P$8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PrüfungÜbersichtVorlage!$O$3:$O$8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AA83-45FA-8794-1536A6941FE7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04130575"/>
        <c:axId val="1296498287"/>
      </c:barChart>
      <c:catAx>
        <c:axId val="1404130575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Note</a:t>
                </a:r>
              </a:p>
            </c:rich>
          </c:tx>
          <c:layout>
            <c:manualLayout>
              <c:xMode val="edge"/>
              <c:yMode val="edge"/>
              <c:x val="0.42716535433070862"/>
              <c:y val="0.883310002916302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296498287"/>
        <c:crosses val="autoZero"/>
        <c:auto val="1"/>
        <c:lblAlgn val="ctr"/>
        <c:lblOffset val="100"/>
        <c:noMultiLvlLbl val="0"/>
      </c:catAx>
      <c:valAx>
        <c:axId val="129649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Anzahl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404130575"/>
        <c:crosses val="autoZero"/>
        <c:crossBetween val="between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9525</xdr:rowOff>
        </xdr:from>
        <xdr:to>
          <xdr:col>3</xdr:col>
          <xdr:colOff>600075</xdr:colOff>
          <xdr:row>7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Neue Klasse erstellen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3</xdr:row>
          <xdr:rowOff>28575</xdr:rowOff>
        </xdr:from>
        <xdr:to>
          <xdr:col>5</xdr:col>
          <xdr:colOff>9525</xdr:colOff>
          <xdr:row>4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Neue Prüfung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657225</xdr:colOff>
          <xdr:row>14</xdr:row>
          <xdr:rowOff>0</xdr:rowOff>
        </xdr:from>
        <xdr:to>
          <xdr:col>9</xdr:col>
          <xdr:colOff>628650</xdr:colOff>
          <xdr:row>15</xdr:row>
          <xdr:rowOff>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3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Aktualisieren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14</xdr:row>
      <xdr:rowOff>200024</xdr:rowOff>
    </xdr:from>
    <xdr:to>
      <xdr:col>6</xdr:col>
      <xdr:colOff>0</xdr:colOff>
      <xdr:row>29</xdr:row>
      <xdr:rowOff>200024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904875</xdr:colOff>
          <xdr:row>7</xdr:row>
          <xdr:rowOff>171450</xdr:rowOff>
        </xdr:from>
        <xdr:to>
          <xdr:col>2</xdr:col>
          <xdr:colOff>895350</xdr:colOff>
          <xdr:row>9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Anlegen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22</xdr:row>
      <xdr:rowOff>0</xdr:rowOff>
    </xdr:from>
    <xdr:to>
      <xdr:col>22</xdr:col>
      <xdr:colOff>0</xdr:colOff>
      <xdr:row>34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6305550" y="4191000"/>
          <a:ext cx="4686300" cy="23431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DE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CE208E6-D17A-4EFD-BE9D-087E4BD939BE}" name="PrüfungÜbersicht" displayName="PrüfungÜbersicht" ref="A11:G12" insertRow="1" totalsRowShown="0" headerRowDxfId="31" headerRowBorderDxfId="30" tableBorderDxfId="29" totalsRowBorderDxfId="28">
  <autoFilter ref="A11:G12" xr:uid="{3CE208E6-D17A-4EFD-BE9D-087E4BD939B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25767A9-BB59-44B7-8D69-811559DDC430}" name="Anwesend" dataDxfId="27"/>
    <tableColumn id="2" xr3:uid="{CAEC63F2-0FEE-4DB9-9758-143A28B02249}" name="Nachname" dataDxfId="26">
      <calculatedColumnFormula>KlassenbogenVorlage!A4</calculatedColumnFormula>
    </tableColumn>
    <tableColumn id="3" xr3:uid="{CFB28906-8579-4657-BC71-428F00A7C133}" name="Vorname" dataDxfId="25">
      <calculatedColumnFormula>KlassenbogenVorlage!B4</calculatedColumnFormula>
    </tableColumn>
    <tableColumn id="4" xr3:uid="{C7C246D7-50A7-453E-BC8A-E4E211E794B4}" name="Note" dataDxfId="24">
      <calculatedColumnFormula>GetGrade(E12)</calculatedColumnFormula>
    </tableColumn>
    <tableColumn id="5" xr3:uid="{AC2EDC0A-55F5-48E0-A70D-CBB761E7042C}" name="Punkte" dataDxfId="23"/>
    <tableColumn id="6" xr3:uid="{6F58CA34-4BF0-4992-A41F-28BC31436406}" name="Prozent" dataDxfId="22" dataCellStyle="Percent">
      <calculatedColumnFormula>E12/$L$2</calculatedColumnFormula>
    </tableColumn>
    <tableColumn id="7" xr3:uid="{CDD2D785-3AD5-42A3-82AC-90A3E3163DFC}" name="Bemerkung" dataDxfId="21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DFDCCC6-C881-4AF6-8025-8AB9C063F281}" name="Table6" displayName="Table6" ref="O2:P8" totalsRowShown="0">
  <autoFilter ref="O2:P8" xr:uid="{1DFDCCC6-C881-4AF6-8025-8AB9C063F281}"/>
  <tableColumns count="2">
    <tableColumn id="1" xr3:uid="{19AFA465-32F2-40C2-B21F-B5AA59EBCE9A}" name="Note"/>
    <tableColumn id="2" xr3:uid="{8720718D-21F4-4B92-9124-6935802021B4}" name="Anzahl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9D5CBA16-32E6-4066-AE56-DD8C4D8B72E2}" name="Table9" displayName="Table9" ref="A4:E5" totalsRowShown="0" headerRowDxfId="0" headerRowBorderDxfId="1" tableBorderDxfId="2">
  <autoFilter ref="A4:E5" xr:uid="{9D5CBA16-32E6-4066-AE56-DD8C4D8B72E2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AE951294-C863-42D2-8228-2680FB68BF8F}" name="Nachname"/>
    <tableColumn id="2" xr3:uid="{B2733091-FCBE-40CE-AFB6-3DD5EC547A07}" name="Vorname"/>
    <tableColumn id="3" xr3:uid="{FBC7475D-201F-41CE-AB39-CDBDA08A2B4D}" name="Note"/>
    <tableColumn id="4" xr3:uid="{641A2DD0-CA13-40C3-A82A-3F410CD8959A}" name="Punkte"/>
    <tableColumn id="5" xr3:uid="{442BC999-1388-4DD0-803E-136DECADFADD}" name="Bemerkung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FB82838-38A8-4432-ADFF-C9F24AE92868}" name="Fehlend" displayName="Fehlend" ref="A10:B11" totalsRowShown="0" headerRowDxfId="36" dataDxfId="35" tableBorderDxfId="34">
  <autoFilter ref="A10:B11" xr:uid="{3FB82838-38A8-4432-ADFF-C9F24AE92868}">
    <filterColumn colId="0" hiddenButton="1"/>
    <filterColumn colId="1" hiddenButton="1"/>
  </autoFilter>
  <tableColumns count="2">
    <tableColumn id="1" xr3:uid="{C51A159B-4394-4A6B-BF6B-4414A70CC786}" name="Nachname" dataDxfId="33"/>
    <tableColumn id="2" xr3:uid="{4FFD1C6C-4B9C-4941-8CF8-9E6ADC26BBF6}" name="Vorname" dataDxfId="3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4CC7F1D-9B0B-4C8B-ACE9-671A6C498A04}" name="Klassenbogen" displayName="Klassenbogen" ref="A3:E4" insertRow="1" totalsRowShown="0" headerRowDxfId="49" headerRowBorderDxfId="48" tableBorderDxfId="47">
  <autoFilter ref="A3:E4" xr:uid="{FD435649-661D-46C5-8B4E-1994E34951E8}"/>
  <tableColumns count="5">
    <tableColumn id="1" xr3:uid="{85F09104-5C22-4A19-80C9-52915B789B84}" name="Nachname:" dataDxfId="46" totalsRowDxfId="45"/>
    <tableColumn id="2" xr3:uid="{25254EE9-92D0-4079-A35C-02DAFE5FD464}" name="Vorname:" dataDxfId="44" totalsRowDxfId="43"/>
    <tableColumn id="3" xr3:uid="{D94C455B-71D4-4311-B09D-5E062A68F5BE}" name="Geschlecht:" dataDxfId="42" totalsRowDxfId="41"/>
    <tableColumn id="4" xr3:uid="{2F0DA1A4-7504-4F30-9085-6A145E92E250}" name="Religion:" dataDxfId="40" totalsRowDxfId="39"/>
    <tableColumn id="5" xr3:uid="{55FA42D2-E36C-446C-BC6C-098E991A0C9C}" name="Geburtstag:" dataDxfId="38" totalsRowDxfId="37"/>
  </tableColumns>
  <tableStyleInfo name="TableStyleLight2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FB9F914-B581-4DD1-9302-13841FB775D7}" name="Datenbank" displayName="Datenbank" ref="A1:F13" headerRowDxfId="20" dataDxfId="18" headerRowBorderDxfId="19" tableBorderDxfId="17">
  <autoFilter ref="A1:F13" xr:uid="{6FB9F914-B581-4DD1-9302-13841FB775D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8F6204EB-EC7B-47D0-BA02-350C02F87837}" name="Fach" totalsRowLabel="Total" dataDxfId="16" totalsRowDxfId="15"/>
    <tableColumn id="2" xr3:uid="{AD068FFC-1B7E-4BB2-B235-3A903D193B08}" name="Typ" dataDxfId="14" totalsRowDxfId="13"/>
    <tableColumn id="3" xr3:uid="{716BDB56-9F49-49C8-8C08-0F34B5F5B932}" name="Klasse" dataDxfId="12" totalsRowDxfId="11"/>
    <tableColumn id="4" xr3:uid="{5BCDACE6-AB88-4BE6-8F68-82D6F528EFB1}" name="Religion" dataDxfId="10" totalsRowDxfId="9"/>
    <tableColumn id="5" xr3:uid="{3D14F14A-860A-44F4-965B-8BD8A5369E8E}" name="Geschlecht" dataDxfId="8" totalsRowDxfId="7"/>
    <tableColumn id="6" xr3:uid="{D356EF5E-2737-4DA2-A1E7-EC4CDF88B3F8}" name="Schuljahr" totalsRowFunction="count" dataDxfId="6" totalsRowDxfId="5"/>
  </tableColumns>
  <tableStyleInfo name="TableStyleLight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52611F1-6744-4999-9833-268C3FA5435B}" name="Table3" displayName="Table3" ref="H1:H101" totalsRowShown="0" tableBorderDxfId="4" headerRowCellStyle="Percent" dataCellStyle="Percent">
  <autoFilter ref="H1:H101" xr:uid="{752611F1-6744-4999-9833-268C3FA5435B}">
    <filterColumn colId="0" hiddenButton="1"/>
  </autoFilter>
  <tableColumns count="1">
    <tableColumn id="1" xr3:uid="{00906B68-FE90-407D-9411-7CD003101DB3}" name="Prozente" dataCellStyle="Percent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0264774-EFA8-46DA-BD02-C310594A88E8}" name="Table5" displayName="Table5" ref="J1:J3" totalsRowShown="0" tableBorderDxfId="3">
  <autoFilter ref="J1:J3" xr:uid="{A0264774-EFA8-46DA-BD02-C310594A88E8}"/>
  <tableColumns count="1">
    <tableColumn id="1" xr3:uid="{EE59B7E7-2C4B-47A6-9CBC-2BB71B7AB7DC}" name="Anwesen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8F24A-5560-4841-946A-A8C51FA7D3E2}">
  <sheetPr codeName="Sheet14">
    <tabColor rgb="FF00B050"/>
  </sheetPr>
  <dimension ref="A4"/>
  <sheetViews>
    <sheetView workbookViewId="0">
      <selection activeCell="E12" sqref="E12"/>
    </sheetView>
  </sheetViews>
  <sheetFormatPr defaultRowHeight="15" x14ac:dyDescent="0.25"/>
  <sheetData>
    <row r="4" spans="1:1" x14ac:dyDescent="0.25">
      <c r="A4" t="s">
        <v>123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NeueKlasseAnlegen_Click">
                <anchor moveWithCells="1" sizeWithCells="1">
                  <from>
                    <xdr:col>2</xdr:col>
                    <xdr:colOff>0</xdr:colOff>
                    <xdr:row>5</xdr:row>
                    <xdr:rowOff>9525</xdr:rowOff>
                  </from>
                  <to>
                    <xdr:col>3</xdr:col>
                    <xdr:colOff>600075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483C8-359D-4058-8EDC-33E55E5B68E4}">
  <sheetPr codeName="Sheet13">
    <tabColor theme="5" tint="-0.249977111117893"/>
  </sheetPr>
  <dimension ref="A4"/>
  <sheetViews>
    <sheetView workbookViewId="0">
      <selection activeCell="G10" sqref="G10"/>
    </sheetView>
  </sheetViews>
  <sheetFormatPr defaultRowHeight="15" x14ac:dyDescent="0.25"/>
  <sheetData>
    <row r="4" spans="1:1" x14ac:dyDescent="0.25">
      <c r="A4" t="s">
        <v>120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NeuePrüfungAnlegen_Click">
                <anchor moveWithCells="1" sizeWithCells="1">
                  <from>
                    <xdr:col>3</xdr:col>
                    <xdr:colOff>0</xdr:colOff>
                    <xdr:row>3</xdr:row>
                    <xdr:rowOff>28575</xdr:rowOff>
                  </from>
                  <to>
                    <xdr:col>5</xdr:col>
                    <xdr:colOff>9525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3AED6-52D7-4345-A785-3A9BFEE5A32D}">
  <sheetPr codeName="Sheet3">
    <tabColor theme="5" tint="-0.499984740745262"/>
  </sheetPr>
  <dimension ref="A1:P30"/>
  <sheetViews>
    <sheetView workbookViewId="0">
      <selection activeCell="G17" sqref="G17"/>
    </sheetView>
  </sheetViews>
  <sheetFormatPr defaultRowHeight="15" x14ac:dyDescent="0.25"/>
  <cols>
    <col min="1" max="1" width="12.5703125" bestFit="1" customWidth="1"/>
    <col min="2" max="2" width="20.85546875" customWidth="1"/>
    <col min="3" max="3" width="14" customWidth="1"/>
    <col min="4" max="4" width="10" style="11" customWidth="1"/>
    <col min="5" max="5" width="10.140625" style="62" customWidth="1"/>
    <col min="6" max="6" width="9.140625" style="63"/>
    <col min="7" max="7" width="18.85546875" customWidth="1"/>
    <col min="8" max="8" width="7.5703125" customWidth="1"/>
    <col min="9" max="9" width="8.7109375" customWidth="1"/>
    <col min="10" max="10" width="5.5703125" customWidth="1"/>
    <col min="11" max="11" width="5.7109375" customWidth="1"/>
    <col min="12" max="12" width="5.85546875" customWidth="1"/>
    <col min="15" max="16" width="0" hidden="1" customWidth="1"/>
  </cols>
  <sheetData>
    <row r="1" spans="1:16" ht="15.75" thickBot="1" x14ac:dyDescent="0.3">
      <c r="A1" s="59" t="s">
        <v>6</v>
      </c>
      <c r="B1" s="71" t="s">
        <v>42</v>
      </c>
      <c r="C1" s="72" t="s">
        <v>29</v>
      </c>
      <c r="D1" s="73" t="s">
        <v>44</v>
      </c>
      <c r="E1" s="74" t="s">
        <v>28</v>
      </c>
      <c r="F1" s="75" t="s">
        <v>53</v>
      </c>
      <c r="G1" s="33"/>
      <c r="H1" s="182" t="s">
        <v>25</v>
      </c>
      <c r="I1" s="182"/>
      <c r="J1" s="182"/>
      <c r="K1" s="182"/>
      <c r="L1" s="183"/>
    </row>
    <row r="2" spans="1:16" ht="15.75" thickBot="1" x14ac:dyDescent="0.3">
      <c r="A2" s="58" t="s">
        <v>74</v>
      </c>
      <c r="B2" s="76" t="s">
        <v>87</v>
      </c>
      <c r="C2" s="51"/>
      <c r="D2" s="61"/>
      <c r="E2" s="77"/>
      <c r="F2" s="78"/>
      <c r="G2" s="31"/>
      <c r="H2" s="181" t="s">
        <v>24</v>
      </c>
      <c r="I2" s="181"/>
      <c r="J2" s="181"/>
      <c r="K2" s="181"/>
      <c r="L2" s="81">
        <v>42</v>
      </c>
      <c r="O2" t="s">
        <v>22</v>
      </c>
      <c r="P2" t="s">
        <v>109</v>
      </c>
    </row>
    <row r="3" spans="1:16" ht="15.75" thickBot="1" x14ac:dyDescent="0.3">
      <c r="A3" s="58" t="s">
        <v>75</v>
      </c>
      <c r="B3" s="175" t="s">
        <v>92</v>
      </c>
      <c r="C3" s="175"/>
      <c r="D3" s="175"/>
      <c r="E3" s="175"/>
      <c r="F3" s="175"/>
      <c r="G3" s="176"/>
      <c r="H3" s="179" t="s">
        <v>23</v>
      </c>
      <c r="I3" s="180"/>
      <c r="J3" s="79" t="s">
        <v>22</v>
      </c>
      <c r="K3" s="50"/>
      <c r="L3" s="80" t="s">
        <v>110</v>
      </c>
      <c r="O3">
        <v>1</v>
      </c>
      <c r="P3">
        <f>COUNTIF(PrüfungÜbersicht[Note],1)</f>
        <v>0</v>
      </c>
    </row>
    <row r="4" spans="1:16" ht="15.75" thickBot="1" x14ac:dyDescent="0.3">
      <c r="A4" s="58" t="s">
        <v>78</v>
      </c>
      <c r="B4" s="177" t="s">
        <v>93</v>
      </c>
      <c r="C4" s="177"/>
      <c r="D4" s="177"/>
      <c r="E4" s="177"/>
      <c r="F4" s="177"/>
      <c r="G4" s="178"/>
      <c r="H4" s="64">
        <f>L2</f>
        <v>42</v>
      </c>
      <c r="I4" s="64">
        <f>$L$2*L4</f>
        <v>38.22</v>
      </c>
      <c r="J4" s="66">
        <v>1</v>
      </c>
      <c r="K4" s="39" t="s">
        <v>96</v>
      </c>
      <c r="L4" s="82">
        <v>0.91</v>
      </c>
      <c r="O4">
        <v>2</v>
      </c>
      <c r="P4">
        <f>COUNTIF(PrüfungÜbersicht[Note],2)</f>
        <v>0</v>
      </c>
    </row>
    <row r="5" spans="1:16" ht="15.75" thickBot="1" x14ac:dyDescent="0.3">
      <c r="A5" s="58" t="s">
        <v>79</v>
      </c>
      <c r="B5" s="175" t="s">
        <v>94</v>
      </c>
      <c r="C5" s="175"/>
      <c r="D5" s="175"/>
      <c r="E5" s="175"/>
      <c r="F5" s="175"/>
      <c r="G5" s="176"/>
      <c r="H5" s="65">
        <f>I4-1</f>
        <v>37.22</v>
      </c>
      <c r="I5" s="64">
        <f t="shared" ref="I5:I9" si="0">$L$2*L5</f>
        <v>34.020000000000003</v>
      </c>
      <c r="J5" s="54">
        <v>2</v>
      </c>
      <c r="K5" s="38" t="s">
        <v>96</v>
      </c>
      <c r="L5" s="83">
        <v>0.81</v>
      </c>
      <c r="O5">
        <v>3</v>
      </c>
      <c r="P5">
        <f>COUNTIF(PrüfungÜbersicht[Note],3)</f>
        <v>0</v>
      </c>
    </row>
    <row r="6" spans="1:16" ht="15.75" thickBot="1" x14ac:dyDescent="0.3">
      <c r="A6" s="58" t="s">
        <v>80</v>
      </c>
      <c r="B6" s="177" t="s">
        <v>95</v>
      </c>
      <c r="C6" s="177"/>
      <c r="D6" s="177"/>
      <c r="E6" s="177"/>
      <c r="F6" s="177"/>
      <c r="G6" s="178"/>
      <c r="H6" s="65">
        <f t="shared" ref="H6:H9" si="1">I5-1</f>
        <v>33.020000000000003</v>
      </c>
      <c r="I6" s="64">
        <f t="shared" si="0"/>
        <v>29.82</v>
      </c>
      <c r="J6" s="54">
        <v>3</v>
      </c>
      <c r="K6" s="38" t="s">
        <v>96</v>
      </c>
      <c r="L6" s="83">
        <v>0.71</v>
      </c>
      <c r="O6">
        <v>4</v>
      </c>
      <c r="P6">
        <f>COUNTIF(PrüfungÜbersicht[Note],4)</f>
        <v>0</v>
      </c>
    </row>
    <row r="7" spans="1:16" ht="15.75" thickBot="1" x14ac:dyDescent="0.3">
      <c r="A7" s="58"/>
      <c r="B7" s="69"/>
      <c r="C7" s="69"/>
      <c r="D7" s="69"/>
      <c r="E7" s="69"/>
      <c r="F7" s="69"/>
      <c r="G7" s="68"/>
      <c r="H7" s="65">
        <f t="shared" si="1"/>
        <v>28.82</v>
      </c>
      <c r="I7" s="64">
        <f t="shared" si="0"/>
        <v>25.62</v>
      </c>
      <c r="J7" s="54">
        <v>4</v>
      </c>
      <c r="K7" s="38" t="s">
        <v>96</v>
      </c>
      <c r="L7" s="83">
        <v>0.61</v>
      </c>
      <c r="O7">
        <v>5</v>
      </c>
      <c r="P7">
        <f>COUNTIF(PrüfungÜbersicht[Note],5)</f>
        <v>0</v>
      </c>
    </row>
    <row r="8" spans="1:16" ht="15.75" thickBot="1" x14ac:dyDescent="0.3">
      <c r="A8" s="58"/>
      <c r="B8" s="177"/>
      <c r="C8" s="177"/>
      <c r="D8" s="177"/>
      <c r="E8" s="177"/>
      <c r="F8" s="177"/>
      <c r="G8" s="178"/>
      <c r="H8" s="65">
        <f t="shared" si="1"/>
        <v>24.62</v>
      </c>
      <c r="I8" s="64">
        <f t="shared" si="0"/>
        <v>21.42</v>
      </c>
      <c r="J8" s="54">
        <v>5</v>
      </c>
      <c r="K8" s="38" t="s">
        <v>96</v>
      </c>
      <c r="L8" s="83">
        <v>0.51</v>
      </c>
      <c r="O8">
        <v>6</v>
      </c>
      <c r="P8">
        <f>COUNTIF(PrüfungÜbersicht[Note],6)</f>
        <v>0</v>
      </c>
    </row>
    <row r="9" spans="1:16" ht="15.75" thickBot="1" x14ac:dyDescent="0.3">
      <c r="A9" s="60"/>
      <c r="B9" s="184"/>
      <c r="C9" s="184"/>
      <c r="D9" s="184"/>
      <c r="E9" s="184"/>
      <c r="F9" s="184"/>
      <c r="G9" s="185"/>
      <c r="H9" s="67">
        <f t="shared" si="1"/>
        <v>20.420000000000002</v>
      </c>
      <c r="I9" s="85">
        <f t="shared" si="0"/>
        <v>0</v>
      </c>
      <c r="J9" s="55">
        <v>6</v>
      </c>
      <c r="K9" s="37" t="s">
        <v>96</v>
      </c>
      <c r="L9" s="84">
        <v>0</v>
      </c>
    </row>
    <row r="10" spans="1:16" ht="15.75" thickBot="1" x14ac:dyDescent="0.3">
      <c r="D10"/>
      <c r="E10"/>
      <c r="F10"/>
      <c r="I10" s="54"/>
      <c r="J10" s="54"/>
      <c r="K10" s="70"/>
      <c r="L10" s="63"/>
    </row>
    <row r="11" spans="1:16" x14ac:dyDescent="0.25">
      <c r="A11" s="121" t="s">
        <v>86</v>
      </c>
      <c r="B11" s="122" t="s">
        <v>91</v>
      </c>
      <c r="C11" s="122" t="s">
        <v>90</v>
      </c>
      <c r="D11" s="123" t="s">
        <v>22</v>
      </c>
      <c r="E11" s="124" t="s">
        <v>27</v>
      </c>
      <c r="F11" s="125" t="s">
        <v>77</v>
      </c>
      <c r="G11" s="126" t="s">
        <v>26</v>
      </c>
      <c r="I11" s="133" t="s">
        <v>97</v>
      </c>
      <c r="J11" s="33">
        <f>COUNTA(B12:B12)</f>
        <v>0</v>
      </c>
    </row>
    <row r="12" spans="1:16" x14ac:dyDescent="0.25">
      <c r="A12" s="127"/>
      <c r="B12" s="128"/>
      <c r="C12" s="128"/>
      <c r="D12" s="129"/>
      <c r="E12" s="130"/>
      <c r="F12" s="131"/>
      <c r="G12" s="132"/>
      <c r="I12" s="134" t="s">
        <v>98</v>
      </c>
      <c r="J12" s="31">
        <f>COUNTIF(A12:A12,"Nein")</f>
        <v>0</v>
      </c>
    </row>
    <row r="13" spans="1:16" x14ac:dyDescent="0.25">
      <c r="I13" s="134" t="s">
        <v>112</v>
      </c>
      <c r="J13" s="135" t="e">
        <f>AVERAGE(PrüfungÜbersicht[Note])</f>
        <v>#DIV/0!</v>
      </c>
    </row>
    <row r="14" spans="1:16" x14ac:dyDescent="0.25">
      <c r="I14" s="32" t="s">
        <v>111</v>
      </c>
      <c r="J14" s="31" t="e">
        <f>AVERAGE(PrüfungÜbersicht[Punkte])</f>
        <v>#DIV/0!</v>
      </c>
    </row>
    <row r="15" spans="1:16" ht="15.75" thickBot="1" x14ac:dyDescent="0.3">
      <c r="D15"/>
      <c r="E15"/>
      <c r="I15" s="86"/>
      <c r="J15" s="10"/>
    </row>
    <row r="16" spans="1:16" x14ac:dyDescent="0.25">
      <c r="D16"/>
      <c r="E16"/>
    </row>
    <row r="17" spans="1:7" x14ac:dyDescent="0.25">
      <c r="D17"/>
      <c r="E17"/>
    </row>
    <row r="18" spans="1:7" x14ac:dyDescent="0.25">
      <c r="D18"/>
      <c r="E18"/>
      <c r="F18"/>
    </row>
    <row r="19" spans="1:7" x14ac:dyDescent="0.25">
      <c r="D19"/>
      <c r="E19"/>
      <c r="F19"/>
    </row>
    <row r="20" spans="1:7" x14ac:dyDescent="0.25">
      <c r="D20"/>
      <c r="E20"/>
      <c r="F20"/>
    </row>
    <row r="21" spans="1:7" ht="15.75" thickBot="1" x14ac:dyDescent="0.3">
      <c r="D21"/>
      <c r="E21"/>
      <c r="F21"/>
    </row>
    <row r="22" spans="1:7" ht="15.75" thickBot="1" x14ac:dyDescent="0.3">
      <c r="A22" s="143" t="s">
        <v>102</v>
      </c>
      <c r="B22" s="144"/>
      <c r="C22" s="144"/>
      <c r="D22" s="144"/>
      <c r="E22" s="144"/>
      <c r="F22" s="144"/>
      <c r="G22" s="145"/>
    </row>
    <row r="23" spans="1:7" x14ac:dyDescent="0.25">
      <c r="A23" s="154" t="s">
        <v>103</v>
      </c>
      <c r="B23" s="155"/>
      <c r="C23" s="155"/>
      <c r="D23" s="155"/>
      <c r="E23" s="155"/>
      <c r="F23" s="155"/>
      <c r="G23" s="156"/>
    </row>
    <row r="24" spans="1:7" x14ac:dyDescent="0.25">
      <c r="A24" s="146" t="s">
        <v>104</v>
      </c>
      <c r="B24" s="147"/>
      <c r="C24" s="147"/>
      <c r="D24" s="147"/>
      <c r="E24" s="147"/>
      <c r="F24" s="147"/>
      <c r="G24" s="148"/>
    </row>
    <row r="25" spans="1:7" ht="15.75" thickBot="1" x14ac:dyDescent="0.3">
      <c r="A25" s="149"/>
      <c r="B25" s="150"/>
      <c r="C25" s="150"/>
      <c r="D25" s="150"/>
      <c r="E25" s="150"/>
      <c r="F25" s="150"/>
      <c r="G25" s="151"/>
    </row>
    <row r="26" spans="1:7" ht="15.75" thickBot="1" x14ac:dyDescent="0.3">
      <c r="D26"/>
      <c r="E26"/>
      <c r="F26"/>
    </row>
    <row r="27" spans="1:7" ht="15.75" thickBot="1" x14ac:dyDescent="0.3">
      <c r="A27" s="157" t="s">
        <v>101</v>
      </c>
      <c r="B27" s="158"/>
      <c r="C27" s="158"/>
      <c r="D27" s="158"/>
      <c r="E27" s="158"/>
      <c r="F27" s="158"/>
      <c r="G27" s="159"/>
    </row>
    <row r="28" spans="1:7" x14ac:dyDescent="0.25">
      <c r="A28" s="146" t="s">
        <v>118</v>
      </c>
      <c r="B28" s="147"/>
      <c r="C28" s="147"/>
      <c r="D28" s="147"/>
      <c r="E28" s="147"/>
      <c r="F28" s="147"/>
      <c r="G28" s="148"/>
    </row>
    <row r="29" spans="1:7" x14ac:dyDescent="0.25">
      <c r="A29" s="146"/>
      <c r="B29" s="147"/>
      <c r="C29" s="147"/>
      <c r="D29" s="147"/>
      <c r="E29" s="147"/>
      <c r="F29" s="147"/>
      <c r="G29" s="148"/>
    </row>
    <row r="30" spans="1:7" ht="15.75" thickBot="1" x14ac:dyDescent="0.3">
      <c r="A30" s="149"/>
      <c r="B30" s="150"/>
      <c r="C30" s="150"/>
      <c r="D30" s="150"/>
      <c r="E30" s="150"/>
      <c r="F30" s="150"/>
      <c r="G30" s="151"/>
    </row>
  </sheetData>
  <mergeCells count="17">
    <mergeCell ref="A25:G25"/>
    <mergeCell ref="A27:G27"/>
    <mergeCell ref="A28:G28"/>
    <mergeCell ref="A29:G29"/>
    <mergeCell ref="A30:G30"/>
    <mergeCell ref="B8:G8"/>
    <mergeCell ref="B9:G9"/>
    <mergeCell ref="A22:G22"/>
    <mergeCell ref="A23:G23"/>
    <mergeCell ref="A24:G24"/>
    <mergeCell ref="B5:G5"/>
    <mergeCell ref="B6:G6"/>
    <mergeCell ref="H3:I3"/>
    <mergeCell ref="H2:K2"/>
    <mergeCell ref="H1:L1"/>
    <mergeCell ref="B3:G3"/>
    <mergeCell ref="B4:G4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1" r:id="rId4" name="Button 15">
              <controlPr defaultSize="0" print="0" autoFill="0" autoPict="0" macro="[0]!Aktualisierenprüfungübersicht">
                <anchor moveWithCells="1" sizeWithCells="1">
                  <from>
                    <xdr:col>7</xdr:col>
                    <xdr:colOff>657225</xdr:colOff>
                    <xdr:row>14</xdr:row>
                    <xdr:rowOff>0</xdr:rowOff>
                  </from>
                  <to>
                    <xdr:col>9</xdr:col>
                    <xdr:colOff>628650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D22458A-C67A-44F5-9498-F026EA646EFC}">
          <x14:formula1>
            <xm:f>Datenbank!$C$2:$C$13</xm:f>
          </x14:formula1>
          <xm:sqref>B1</xm:sqref>
        </x14:dataValidation>
        <x14:dataValidation type="list" allowBlank="1" showInputMessage="1" xr:uid="{FFEA341D-6593-4786-9364-9328A5069B34}">
          <x14:formula1>
            <xm:f>Datenbank!$A$2:$A$13</xm:f>
          </x14:formula1>
          <xm:sqref>D1</xm:sqref>
        </x14:dataValidation>
        <x14:dataValidation type="list" allowBlank="1" showInputMessage="1" xr:uid="{999DECD8-2FBA-445E-AE1F-109820D3E155}">
          <x14:formula1>
            <xm:f>Datenbank!$B$2:$B$13</xm:f>
          </x14:formula1>
          <xm:sqref>F1</xm:sqref>
        </x14:dataValidation>
        <x14:dataValidation type="list" allowBlank="1" showInputMessage="1" xr:uid="{487E62D4-4CBD-440E-B489-45F7917ED83E}">
          <x14:formula1>
            <xm:f>Datenbank!$H$2:$H$101</xm:f>
          </x14:formula1>
          <xm:sqref>L4:L8</xm:sqref>
        </x14:dataValidation>
        <x14:dataValidation type="list" allowBlank="1" xr:uid="{642D6969-8363-45DF-8FC6-D22E636F1329}">
          <x14:formula1>
            <xm:f>Datenbank!$J$2:$J$3</xm:f>
          </x14:formula1>
          <xm:sqref>A12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E6A16-6761-466C-87B6-6EC34D44D887}">
  <sheetPr codeName="Sheet4">
    <tabColor theme="5" tint="-0.499984740745262"/>
  </sheetPr>
  <dimension ref="A1:F39"/>
  <sheetViews>
    <sheetView workbookViewId="0">
      <selection activeCell="E22" sqref="E22"/>
    </sheetView>
  </sheetViews>
  <sheetFormatPr defaultRowHeight="15" x14ac:dyDescent="0.25"/>
  <cols>
    <col min="1" max="1" width="12.7109375" bestFit="1" customWidth="1"/>
    <col min="2" max="2" width="13.28515625" customWidth="1"/>
    <col min="3" max="3" width="11.42578125" bestFit="1" customWidth="1"/>
    <col min="4" max="4" width="9.42578125" customWidth="1"/>
    <col min="5" max="5" width="29.28515625" bestFit="1" customWidth="1"/>
    <col min="6" max="6" width="13.42578125" bestFit="1" customWidth="1"/>
  </cols>
  <sheetData>
    <row r="1" spans="1:6" x14ac:dyDescent="0.25">
      <c r="A1" s="11"/>
      <c r="B1" s="63"/>
      <c r="C1" s="195" t="s">
        <v>119</v>
      </c>
      <c r="D1" s="195"/>
      <c r="E1" s="195"/>
      <c r="F1" s="195"/>
    </row>
    <row r="2" spans="1:6" x14ac:dyDescent="0.25">
      <c r="A2" s="51"/>
      <c r="B2" s="51"/>
      <c r="C2" s="51"/>
      <c r="D2" s="51"/>
      <c r="E2" s="51"/>
    </row>
    <row r="3" spans="1:6" x14ac:dyDescent="0.25">
      <c r="A3" s="175"/>
      <c r="B3" s="175"/>
      <c r="C3" s="175"/>
      <c r="D3" s="175"/>
      <c r="E3" s="175"/>
    </row>
    <row r="4" spans="1:6" x14ac:dyDescent="0.25">
      <c r="A4" s="122" t="s">
        <v>91</v>
      </c>
      <c r="B4" s="122" t="s">
        <v>90</v>
      </c>
      <c r="C4" s="123" t="s">
        <v>22</v>
      </c>
      <c r="D4" s="124" t="s">
        <v>27</v>
      </c>
      <c r="E4" s="197" t="s">
        <v>26</v>
      </c>
    </row>
    <row r="28" spans="1:6" x14ac:dyDescent="0.25">
      <c r="B28" s="70" t="s">
        <v>113</v>
      </c>
      <c r="C28" s="136" t="e">
        <f>AVERAGE(_xlfn.ANCHORARRAY(C5))</f>
        <v>#REF!</v>
      </c>
    </row>
    <row r="30" spans="1:6" ht="15.75" thickBot="1" x14ac:dyDescent="0.3"/>
    <row r="31" spans="1:6" ht="15.75" thickBot="1" x14ac:dyDescent="0.3">
      <c r="A31" s="143" t="s">
        <v>102</v>
      </c>
      <c r="B31" s="144"/>
      <c r="C31" s="144"/>
      <c r="D31" s="144"/>
      <c r="E31" s="144"/>
      <c r="F31" s="145"/>
    </row>
    <row r="32" spans="1:6" x14ac:dyDescent="0.25">
      <c r="A32" s="154"/>
      <c r="B32" s="155"/>
      <c r="C32" s="155"/>
      <c r="D32" s="155"/>
      <c r="E32" s="155"/>
      <c r="F32" s="156"/>
    </row>
    <row r="33" spans="1:6" x14ac:dyDescent="0.25">
      <c r="A33" s="146"/>
      <c r="B33" s="147"/>
      <c r="C33" s="147"/>
      <c r="D33" s="147"/>
      <c r="E33" s="147"/>
      <c r="F33" s="148"/>
    </row>
    <row r="34" spans="1:6" ht="15.75" thickBot="1" x14ac:dyDescent="0.3">
      <c r="A34" s="149"/>
      <c r="B34" s="150"/>
      <c r="C34" s="150"/>
      <c r="D34" s="150"/>
      <c r="E34" s="150"/>
      <c r="F34" s="151"/>
    </row>
    <row r="35" spans="1:6" ht="15.75" thickBot="1" x14ac:dyDescent="0.3"/>
    <row r="36" spans="1:6" ht="15.75" thickBot="1" x14ac:dyDescent="0.3">
      <c r="A36" s="157" t="s">
        <v>101</v>
      </c>
      <c r="B36" s="158"/>
      <c r="C36" s="158"/>
      <c r="D36" s="158"/>
      <c r="E36" s="158"/>
      <c r="F36" s="159"/>
    </row>
    <row r="37" spans="1:6" x14ac:dyDescent="0.25">
      <c r="A37" s="146" t="s">
        <v>121</v>
      </c>
      <c r="B37" s="147"/>
      <c r="C37" s="147"/>
      <c r="D37" s="147"/>
      <c r="E37" s="147"/>
      <c r="F37" s="148"/>
    </row>
    <row r="38" spans="1:6" x14ac:dyDescent="0.25">
      <c r="A38" s="146" t="s">
        <v>122</v>
      </c>
      <c r="B38" s="147"/>
      <c r="C38" s="147"/>
      <c r="D38" s="147"/>
      <c r="E38" s="147"/>
      <c r="F38" s="148"/>
    </row>
    <row r="39" spans="1:6" ht="15.75" thickBot="1" x14ac:dyDescent="0.3">
      <c r="A39" s="149"/>
      <c r="B39" s="150"/>
      <c r="C39" s="150"/>
      <c r="D39" s="150"/>
      <c r="E39" s="150"/>
      <c r="F39" s="151"/>
    </row>
  </sheetData>
  <mergeCells count="10">
    <mergeCell ref="C1:F1"/>
    <mergeCell ref="A3:E3"/>
    <mergeCell ref="A38:F38"/>
    <mergeCell ref="A39:F39"/>
    <mergeCell ref="A31:F31"/>
    <mergeCell ref="A32:F32"/>
    <mergeCell ref="A33:F33"/>
    <mergeCell ref="A34:F34"/>
    <mergeCell ref="A36:F36"/>
    <mergeCell ref="A37:F37"/>
  </mergeCells>
  <phoneticPr fontId="7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BD4EA-D32C-4397-B793-C8299AAB75FE}">
  <sheetPr codeName="Sheet5">
    <tabColor theme="5" tint="-0.499984740745262"/>
  </sheetPr>
  <dimension ref="A1:F48"/>
  <sheetViews>
    <sheetView topLeftCell="A28" workbookViewId="0">
      <selection activeCell="I20" sqref="I20"/>
    </sheetView>
  </sheetViews>
  <sheetFormatPr defaultRowHeight="15" x14ac:dyDescent="0.25"/>
  <cols>
    <col min="1" max="1" width="12.5703125" bestFit="1" customWidth="1"/>
    <col min="2" max="2" width="11.28515625" customWidth="1"/>
    <col min="3" max="3" width="11.28515625" bestFit="1" customWidth="1"/>
    <col min="4" max="4" width="9" customWidth="1"/>
    <col min="5" max="5" width="10.7109375" customWidth="1"/>
  </cols>
  <sheetData>
    <row r="1" spans="1:6" ht="19.5" thickBot="1" x14ac:dyDescent="0.35">
      <c r="A1" s="165" t="s">
        <v>81</v>
      </c>
      <c r="B1" s="166"/>
      <c r="C1" s="166"/>
      <c r="D1" s="166"/>
      <c r="E1" s="166"/>
      <c r="F1" s="167"/>
    </row>
    <row r="2" spans="1:6" s="53" customFormat="1" ht="16.5" thickBot="1" x14ac:dyDescent="0.3">
      <c r="A2" s="107" t="s">
        <v>57</v>
      </c>
      <c r="B2" s="108"/>
      <c r="C2" s="108" t="s">
        <v>11</v>
      </c>
      <c r="D2" s="108"/>
      <c r="E2" s="108" t="s">
        <v>58</v>
      </c>
      <c r="F2" s="109"/>
    </row>
    <row r="3" spans="1:6" s="53" customFormat="1" ht="16.5" thickBot="1" x14ac:dyDescent="0.3">
      <c r="A3" s="196" t="s">
        <v>13</v>
      </c>
      <c r="B3" s="110"/>
      <c r="D3" s="174" t="s">
        <v>105</v>
      </c>
      <c r="E3" s="174"/>
      <c r="F3" s="111"/>
    </row>
    <row r="4" spans="1:6" x14ac:dyDescent="0.25">
      <c r="A4" s="120" t="s">
        <v>75</v>
      </c>
      <c r="B4" s="168"/>
      <c r="C4" s="168"/>
      <c r="D4" s="168"/>
      <c r="E4" s="168"/>
      <c r="F4" s="169"/>
    </row>
    <row r="5" spans="1:6" x14ac:dyDescent="0.25">
      <c r="A5" s="112" t="s">
        <v>106</v>
      </c>
      <c r="B5" s="170"/>
      <c r="C5" s="170"/>
      <c r="D5" s="170"/>
      <c r="E5" s="170"/>
      <c r="F5" s="171"/>
    </row>
    <row r="6" spans="1:6" x14ac:dyDescent="0.25">
      <c r="A6" s="118" t="s">
        <v>107</v>
      </c>
      <c r="B6" s="172"/>
      <c r="C6" s="172"/>
      <c r="D6" s="172"/>
      <c r="E6" s="172"/>
      <c r="F6" s="173"/>
    </row>
    <row r="7" spans="1:6" ht="15.75" thickBot="1" x14ac:dyDescent="0.3">
      <c r="A7" s="113" t="s">
        <v>108</v>
      </c>
      <c r="B7" s="163"/>
      <c r="C7" s="163"/>
      <c r="D7" s="163"/>
      <c r="E7" s="163"/>
      <c r="F7" s="164"/>
    </row>
    <row r="8" spans="1:6" ht="15.75" thickBot="1" x14ac:dyDescent="0.3">
      <c r="A8" s="118" t="s">
        <v>82</v>
      </c>
      <c r="B8" s="119"/>
      <c r="C8" s="88"/>
      <c r="D8" s="104" t="s">
        <v>83</v>
      </c>
      <c r="E8" s="105"/>
      <c r="F8" s="106"/>
    </row>
    <row r="9" spans="1:6" ht="15.75" thickBot="1" x14ac:dyDescent="0.3">
      <c r="A9" s="116" t="s">
        <v>99</v>
      </c>
      <c r="B9" s="117"/>
      <c r="C9" s="88"/>
      <c r="D9" s="90" t="s">
        <v>22</v>
      </c>
      <c r="E9" s="91" t="s">
        <v>84</v>
      </c>
      <c r="F9" s="92" t="s">
        <v>85</v>
      </c>
    </row>
    <row r="10" spans="1:6" x14ac:dyDescent="0.25">
      <c r="A10" s="114" t="s">
        <v>91</v>
      </c>
      <c r="B10" s="115" t="s">
        <v>90</v>
      </c>
      <c r="C10" s="88"/>
      <c r="D10" s="100">
        <v>1</v>
      </c>
      <c r="E10" s="101"/>
      <c r="F10" s="198"/>
    </row>
    <row r="11" spans="1:6" x14ac:dyDescent="0.25">
      <c r="A11" s="114"/>
      <c r="B11" s="115"/>
      <c r="C11" s="88"/>
      <c r="D11" s="96">
        <v>2</v>
      </c>
      <c r="E11" s="97"/>
      <c r="F11" s="199"/>
    </row>
    <row r="12" spans="1:6" x14ac:dyDescent="0.25">
      <c r="A12" s="87"/>
      <c r="B12" s="88"/>
      <c r="C12" s="88"/>
      <c r="D12" s="102">
        <v>3</v>
      </c>
      <c r="E12" s="103"/>
      <c r="F12" s="200"/>
    </row>
    <row r="13" spans="1:6" x14ac:dyDescent="0.25">
      <c r="A13" s="87"/>
      <c r="B13" s="88"/>
      <c r="C13" s="88"/>
      <c r="D13" s="96">
        <v>4</v>
      </c>
      <c r="E13" s="97"/>
      <c r="F13" s="199"/>
    </row>
    <row r="14" spans="1:6" x14ac:dyDescent="0.25">
      <c r="A14" s="87"/>
      <c r="B14" s="88"/>
      <c r="C14" s="88"/>
      <c r="D14" s="102">
        <v>5</v>
      </c>
      <c r="E14" s="103"/>
      <c r="F14" s="200"/>
    </row>
    <row r="15" spans="1:6" ht="15.75" thickBot="1" x14ac:dyDescent="0.3">
      <c r="A15" s="87"/>
      <c r="B15" s="88"/>
      <c r="C15" s="88"/>
      <c r="D15" s="98">
        <v>6</v>
      </c>
      <c r="E15" s="99"/>
      <c r="F15" s="201"/>
    </row>
    <row r="16" spans="1:6" x14ac:dyDescent="0.25">
      <c r="A16" s="87"/>
      <c r="B16" s="88"/>
      <c r="C16" s="88"/>
      <c r="D16" s="88"/>
      <c r="E16" s="88"/>
      <c r="F16" s="93"/>
    </row>
    <row r="17" spans="1:6" x14ac:dyDescent="0.25">
      <c r="A17" s="87"/>
      <c r="B17" s="88"/>
      <c r="C17" s="88"/>
      <c r="D17" s="88"/>
      <c r="E17" s="88"/>
      <c r="F17" s="93"/>
    </row>
    <row r="18" spans="1:6" x14ac:dyDescent="0.25">
      <c r="A18" s="87"/>
      <c r="B18" s="88"/>
      <c r="C18" s="88"/>
      <c r="D18" s="88"/>
      <c r="E18" s="88"/>
      <c r="F18" s="93"/>
    </row>
    <row r="19" spans="1:6" x14ac:dyDescent="0.25">
      <c r="A19" s="87"/>
      <c r="B19" s="88"/>
      <c r="C19" s="88"/>
      <c r="D19" s="88"/>
      <c r="E19" s="88"/>
      <c r="F19" s="93"/>
    </row>
    <row r="20" spans="1:6" x14ac:dyDescent="0.25">
      <c r="A20" s="87"/>
      <c r="B20" s="88"/>
      <c r="C20" s="88"/>
      <c r="D20" s="88"/>
      <c r="E20" s="88"/>
      <c r="F20" s="93"/>
    </row>
    <row r="21" spans="1:6" x14ac:dyDescent="0.25">
      <c r="A21" s="87"/>
      <c r="B21" s="88"/>
      <c r="C21" s="88"/>
      <c r="D21" s="88"/>
      <c r="E21" s="88"/>
      <c r="F21" s="93"/>
    </row>
    <row r="22" spans="1:6" x14ac:dyDescent="0.25">
      <c r="A22" s="87"/>
      <c r="B22" s="88"/>
      <c r="C22" s="88"/>
      <c r="D22" s="88"/>
      <c r="E22" s="88"/>
      <c r="F22" s="93"/>
    </row>
    <row r="23" spans="1:6" x14ac:dyDescent="0.25">
      <c r="A23" s="87"/>
      <c r="B23" s="88"/>
      <c r="C23" s="88"/>
      <c r="D23" s="88"/>
      <c r="E23" s="88"/>
      <c r="F23" s="93"/>
    </row>
    <row r="24" spans="1:6" x14ac:dyDescent="0.25">
      <c r="A24" s="87"/>
      <c r="B24" s="88"/>
      <c r="C24" s="88"/>
      <c r="D24" s="88"/>
      <c r="E24" s="88"/>
      <c r="F24" s="93"/>
    </row>
    <row r="25" spans="1:6" x14ac:dyDescent="0.25">
      <c r="A25" s="87"/>
      <c r="B25" s="88"/>
      <c r="C25" s="88"/>
      <c r="D25" s="88"/>
      <c r="E25" s="88"/>
      <c r="F25" s="93"/>
    </row>
    <row r="26" spans="1:6" x14ac:dyDescent="0.25">
      <c r="A26" s="87"/>
      <c r="B26" s="88"/>
      <c r="C26" s="88"/>
      <c r="D26" s="88"/>
      <c r="E26" s="88"/>
      <c r="F26" s="93"/>
    </row>
    <row r="27" spans="1:6" x14ac:dyDescent="0.25">
      <c r="A27" s="87"/>
      <c r="B27" s="88"/>
      <c r="C27" s="88"/>
      <c r="D27" s="88"/>
      <c r="E27" s="88"/>
      <c r="F27" s="93"/>
    </row>
    <row r="28" spans="1:6" x14ac:dyDescent="0.25">
      <c r="A28" s="87"/>
      <c r="B28" s="88"/>
      <c r="C28" s="88"/>
      <c r="D28" s="88"/>
      <c r="E28" s="88"/>
      <c r="F28" s="93"/>
    </row>
    <row r="29" spans="1:6" x14ac:dyDescent="0.25">
      <c r="A29" s="87"/>
      <c r="B29" s="88"/>
      <c r="C29" s="88"/>
      <c r="D29" s="88"/>
      <c r="E29" s="88"/>
      <c r="F29" s="93"/>
    </row>
    <row r="30" spans="1:6" ht="15.75" thickBot="1" x14ac:dyDescent="0.3">
      <c r="A30" s="89"/>
      <c r="B30" s="94"/>
      <c r="C30" s="94"/>
      <c r="D30" s="94"/>
      <c r="E30" s="94"/>
      <c r="F30" s="95"/>
    </row>
    <row r="39" spans="1:6" ht="15.75" thickBot="1" x14ac:dyDescent="0.3"/>
    <row r="40" spans="1:6" ht="15.75" thickBot="1" x14ac:dyDescent="0.3">
      <c r="A40" s="144"/>
      <c r="B40" s="144"/>
      <c r="C40" s="144"/>
      <c r="D40" s="144"/>
      <c r="E40" s="144"/>
      <c r="F40" s="145"/>
    </row>
    <row r="41" spans="1:6" x14ac:dyDescent="0.25">
      <c r="A41" s="155"/>
      <c r="B41" s="155"/>
      <c r="C41" s="155"/>
      <c r="D41" s="155"/>
      <c r="E41" s="155"/>
      <c r="F41" s="156"/>
    </row>
    <row r="42" spans="1:6" x14ac:dyDescent="0.25">
      <c r="A42" s="147"/>
      <c r="B42" s="147"/>
      <c r="C42" s="147"/>
      <c r="D42" s="147"/>
      <c r="E42" s="147"/>
      <c r="F42" s="148"/>
    </row>
    <row r="43" spans="1:6" ht="15.75" thickBot="1" x14ac:dyDescent="0.3">
      <c r="A43" s="150"/>
      <c r="B43" s="150"/>
      <c r="C43" s="150"/>
      <c r="D43" s="150"/>
      <c r="E43" s="150"/>
      <c r="F43" s="151"/>
    </row>
    <row r="44" spans="1:6" ht="15.75" thickBot="1" x14ac:dyDescent="0.3"/>
    <row r="45" spans="1:6" ht="15.75" thickBot="1" x14ac:dyDescent="0.3">
      <c r="A45" s="158"/>
      <c r="B45" s="158"/>
      <c r="C45" s="158"/>
      <c r="D45" s="158"/>
      <c r="E45" s="158"/>
      <c r="F45" s="159"/>
    </row>
    <row r="46" spans="1:6" x14ac:dyDescent="0.25">
      <c r="A46" s="147"/>
      <c r="B46" s="147"/>
      <c r="C46" s="147"/>
      <c r="D46" s="147"/>
      <c r="E46" s="147"/>
      <c r="F46" s="148"/>
    </row>
    <row r="47" spans="1:6" x14ac:dyDescent="0.25">
      <c r="A47" s="147"/>
      <c r="B47" s="147"/>
      <c r="C47" s="147"/>
      <c r="D47" s="147"/>
      <c r="E47" s="147"/>
      <c r="F47" s="148"/>
    </row>
    <row r="48" spans="1:6" ht="15.75" thickBot="1" x14ac:dyDescent="0.3">
      <c r="A48" s="150"/>
      <c r="B48" s="150"/>
      <c r="C48" s="150"/>
      <c r="D48" s="150"/>
      <c r="E48" s="150"/>
      <c r="F48" s="151"/>
    </row>
  </sheetData>
  <mergeCells count="14">
    <mergeCell ref="A46:F46"/>
    <mergeCell ref="A47:F47"/>
    <mergeCell ref="A48:F48"/>
    <mergeCell ref="A41:F41"/>
    <mergeCell ref="A40:F40"/>
    <mergeCell ref="A45:F45"/>
    <mergeCell ref="A42:F42"/>
    <mergeCell ref="A43:F43"/>
    <mergeCell ref="B7:F7"/>
    <mergeCell ref="A1:F1"/>
    <mergeCell ref="B4:F4"/>
    <mergeCell ref="B5:F5"/>
    <mergeCell ref="B6:F6"/>
    <mergeCell ref="D3:E3"/>
  </mergeCells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C617F-1BD9-459F-8AD3-5A6B8B28B0A9}">
  <sheetPr codeName="Sheet11">
    <tabColor theme="9" tint="-0.249977111117893"/>
  </sheetPr>
  <dimension ref="A1:L25"/>
  <sheetViews>
    <sheetView tabSelected="1" workbookViewId="0">
      <selection activeCell="E1" sqref="E1"/>
    </sheetView>
  </sheetViews>
  <sheetFormatPr defaultRowHeight="15" x14ac:dyDescent="0.25"/>
  <cols>
    <col min="1" max="1" width="14.7109375" customWidth="1"/>
    <col min="2" max="2" width="13.85546875" customWidth="1"/>
    <col min="3" max="3" width="13.5703125" customWidth="1"/>
    <col min="4" max="4" width="15" customWidth="1"/>
    <col min="5" max="6" width="13.5703125" customWidth="1"/>
  </cols>
  <sheetData>
    <row r="1" spans="1:12" ht="15.75" thickBot="1" x14ac:dyDescent="0.3">
      <c r="A1" s="137" t="s">
        <v>7</v>
      </c>
      <c r="B1" s="138"/>
      <c r="C1" s="138"/>
      <c r="D1" s="203" t="s">
        <v>124</v>
      </c>
      <c r="E1" s="204"/>
      <c r="F1" s="57"/>
      <c r="G1" s="9"/>
      <c r="H1" s="9"/>
      <c r="I1" s="9"/>
      <c r="J1" s="9"/>
      <c r="K1" s="9"/>
      <c r="L1" s="9"/>
    </row>
    <row r="2" spans="1:12" x14ac:dyDescent="0.25">
      <c r="A2" s="8" t="s">
        <v>6</v>
      </c>
      <c r="B2" s="202"/>
      <c r="C2" s="141" t="s">
        <v>5</v>
      </c>
      <c r="D2" s="142"/>
      <c r="E2" s="56"/>
      <c r="G2" s="6"/>
      <c r="H2" s="6"/>
      <c r="I2" s="6"/>
      <c r="J2" s="6"/>
      <c r="K2" s="6"/>
      <c r="L2" s="6"/>
    </row>
    <row r="3" spans="1:12" ht="15.75" thickBot="1" x14ac:dyDescent="0.3">
      <c r="A3" s="5" t="s">
        <v>4</v>
      </c>
      <c r="B3" s="4" t="s">
        <v>3</v>
      </c>
      <c r="C3" s="4" t="s">
        <v>2</v>
      </c>
      <c r="D3" s="4" t="s">
        <v>1</v>
      </c>
      <c r="E3" s="3" t="s">
        <v>0</v>
      </c>
      <c r="F3" s="35"/>
    </row>
    <row r="4" spans="1:12" x14ac:dyDescent="0.25">
      <c r="A4" s="52"/>
      <c r="B4" s="2"/>
      <c r="C4" s="2"/>
      <c r="D4" s="2"/>
      <c r="E4" s="1"/>
    </row>
    <row r="6" spans="1:12" x14ac:dyDescent="0.25">
      <c r="A6" s="51" t="s">
        <v>100</v>
      </c>
      <c r="B6" s="51">
        <f>COUNTA(Klassenbogen[Nachname:])</f>
        <v>0</v>
      </c>
    </row>
    <row r="8" spans="1:12" ht="15.75" thickBot="1" x14ac:dyDescent="0.3"/>
    <row r="9" spans="1:12" ht="15.75" thickBot="1" x14ac:dyDescent="0.3">
      <c r="A9" s="139" t="s">
        <v>59</v>
      </c>
      <c r="B9" s="140"/>
    </row>
    <row r="10" spans="1:12" x14ac:dyDescent="0.25">
      <c r="C10" s="46"/>
    </row>
    <row r="16" spans="1:12" ht="15.75" thickBot="1" x14ac:dyDescent="0.3"/>
    <row r="17" spans="1:7" ht="15.75" thickBot="1" x14ac:dyDescent="0.3">
      <c r="A17" s="143" t="s">
        <v>102</v>
      </c>
      <c r="B17" s="144"/>
      <c r="C17" s="144"/>
      <c r="D17" s="144"/>
      <c r="E17" s="144"/>
      <c r="F17" s="144"/>
      <c r="G17" s="145"/>
    </row>
    <row r="18" spans="1:7" x14ac:dyDescent="0.25">
      <c r="A18" s="154"/>
      <c r="B18" s="155"/>
      <c r="C18" s="155"/>
      <c r="D18" s="155"/>
      <c r="E18" s="155"/>
      <c r="F18" s="155"/>
      <c r="G18" s="156"/>
    </row>
    <row r="19" spans="1:7" x14ac:dyDescent="0.25">
      <c r="A19" s="146"/>
      <c r="B19" s="147"/>
      <c r="C19" s="147"/>
      <c r="D19" s="147"/>
      <c r="E19" s="147"/>
      <c r="F19" s="147"/>
      <c r="G19" s="148"/>
    </row>
    <row r="20" spans="1:7" ht="15.75" thickBot="1" x14ac:dyDescent="0.3">
      <c r="A20" s="149"/>
      <c r="B20" s="150"/>
      <c r="C20" s="150"/>
      <c r="D20" s="150"/>
      <c r="E20" s="150"/>
      <c r="F20" s="150"/>
      <c r="G20" s="151"/>
    </row>
    <row r="21" spans="1:7" ht="15.75" thickBot="1" x14ac:dyDescent="0.3"/>
    <row r="22" spans="1:7" ht="15.75" thickBot="1" x14ac:dyDescent="0.3">
      <c r="A22" s="157" t="s">
        <v>101</v>
      </c>
      <c r="B22" s="158"/>
      <c r="C22" s="158"/>
      <c r="D22" s="158"/>
      <c r="E22" s="158"/>
      <c r="F22" s="158"/>
      <c r="G22" s="159"/>
    </row>
    <row r="23" spans="1:7" x14ac:dyDescent="0.25">
      <c r="A23" s="152"/>
      <c r="B23" s="152"/>
      <c r="C23" s="152"/>
      <c r="D23" s="152"/>
      <c r="E23" s="152"/>
      <c r="F23" s="152"/>
      <c r="G23" s="153"/>
    </row>
    <row r="24" spans="1:7" x14ac:dyDescent="0.25">
      <c r="A24" s="146"/>
      <c r="B24" s="147"/>
      <c r="C24" s="147"/>
      <c r="D24" s="147"/>
      <c r="E24" s="147"/>
      <c r="F24" s="147"/>
      <c r="G24" s="148"/>
    </row>
    <row r="25" spans="1:7" ht="15.75" thickBot="1" x14ac:dyDescent="0.3">
      <c r="A25" s="149"/>
      <c r="B25" s="150"/>
      <c r="C25" s="150"/>
      <c r="D25" s="150"/>
      <c r="E25" s="150"/>
      <c r="F25" s="150"/>
      <c r="G25" s="151"/>
    </row>
  </sheetData>
  <mergeCells count="11">
    <mergeCell ref="A25:G25"/>
    <mergeCell ref="A23:G23"/>
    <mergeCell ref="A18:G18"/>
    <mergeCell ref="A19:G19"/>
    <mergeCell ref="A20:G20"/>
    <mergeCell ref="A22:G22"/>
    <mergeCell ref="A9:B9"/>
    <mergeCell ref="C2:D2"/>
    <mergeCell ref="A17:G17"/>
    <mergeCell ref="A24:G24"/>
    <mergeCell ref="A1:C1"/>
  </mergeCell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chülerMaskeAnlegen_Click">
                <anchor moveWithCells="1" sizeWithCells="1">
                  <from>
                    <xdr:col>1</xdr:col>
                    <xdr:colOff>904875</xdr:colOff>
                    <xdr:row>7</xdr:row>
                    <xdr:rowOff>171450</xdr:rowOff>
                  </from>
                  <to>
                    <xdr:col>2</xdr:col>
                    <xdr:colOff>895350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6A92C-3A89-4C8D-8889-05BAC1B155C6}">
  <sheetPr codeName="Sheet1">
    <tabColor theme="9" tint="-0.249977111117893"/>
  </sheetPr>
  <dimension ref="A1:Z34"/>
  <sheetViews>
    <sheetView workbookViewId="0">
      <selection activeCell="B7" sqref="B7"/>
    </sheetView>
  </sheetViews>
  <sheetFormatPr defaultRowHeight="15" x14ac:dyDescent="0.25"/>
  <cols>
    <col min="1" max="1" width="19" customWidth="1"/>
    <col min="2" max="2" width="21.28515625" customWidth="1"/>
    <col min="3" max="3" width="13" style="11" customWidth="1"/>
    <col min="4" max="4" width="6.140625" bestFit="1" customWidth="1"/>
    <col min="5" max="26" width="5.85546875" customWidth="1"/>
  </cols>
  <sheetData>
    <row r="1" spans="1:26" x14ac:dyDescent="0.25">
      <c r="A1" s="193" t="s">
        <v>21</v>
      </c>
      <c r="B1" s="193"/>
      <c r="C1" s="36"/>
      <c r="D1" s="35"/>
      <c r="E1" s="35"/>
      <c r="F1" s="35"/>
      <c r="G1" s="35"/>
      <c r="H1" s="35"/>
    </row>
    <row r="2" spans="1:26" ht="15.75" thickBot="1" x14ac:dyDescent="0.3">
      <c r="A2" s="194"/>
      <c r="B2" s="194"/>
    </row>
    <row r="3" spans="1:26" x14ac:dyDescent="0.25">
      <c r="A3" s="34" t="s">
        <v>20</v>
      </c>
      <c r="B3" s="33" t="s">
        <v>19</v>
      </c>
    </row>
    <row r="4" spans="1:26" ht="15.75" thickBot="1" x14ac:dyDescent="0.3">
      <c r="A4" s="58" t="s">
        <v>3</v>
      </c>
      <c r="B4" s="192" t="s">
        <v>18</v>
      </c>
    </row>
    <row r="5" spans="1:26" x14ac:dyDescent="0.25">
      <c r="A5" s="32" t="s">
        <v>17</v>
      </c>
      <c r="B5" s="31" t="s">
        <v>16</v>
      </c>
      <c r="C5" s="191" t="s">
        <v>15</v>
      </c>
      <c r="D5" s="30" t="s">
        <v>14</v>
      </c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8"/>
    </row>
    <row r="6" spans="1:26" ht="15.75" thickBot="1" x14ac:dyDescent="0.3">
      <c r="A6" s="58" t="s">
        <v>6</v>
      </c>
      <c r="B6" s="192"/>
      <c r="C6" s="190" t="s">
        <v>13</v>
      </c>
      <c r="D6" s="26" t="s">
        <v>12</v>
      </c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  <c r="T6" s="25"/>
      <c r="U6" s="25"/>
      <c r="V6" s="25"/>
      <c r="W6" s="25"/>
      <c r="X6" s="25"/>
      <c r="Y6" s="25"/>
      <c r="Z6" s="24"/>
    </row>
    <row r="7" spans="1:26" ht="15.75" thickBot="1" x14ac:dyDescent="0.3">
      <c r="A7" s="27" t="s">
        <v>117</v>
      </c>
      <c r="B7" s="47"/>
      <c r="C7" s="186"/>
      <c r="D7" s="187"/>
      <c r="E7" s="188"/>
      <c r="F7" s="188"/>
      <c r="G7" s="188"/>
      <c r="H7" s="188"/>
      <c r="I7" s="188"/>
      <c r="J7" s="188"/>
      <c r="K7" s="188"/>
      <c r="L7" s="188"/>
      <c r="M7" s="188"/>
      <c r="N7" s="188"/>
      <c r="O7" s="188"/>
      <c r="P7" s="188"/>
      <c r="Q7" s="188"/>
      <c r="R7" s="188"/>
      <c r="S7" s="188"/>
      <c r="T7" s="188"/>
      <c r="U7" s="188"/>
      <c r="V7" s="188"/>
      <c r="W7" s="188"/>
      <c r="X7" s="188"/>
      <c r="Y7" s="188"/>
      <c r="Z7" s="189"/>
    </row>
    <row r="8" spans="1:26" ht="21.75" thickBot="1" x14ac:dyDescent="0.4">
      <c r="A8" s="23" t="s">
        <v>11</v>
      </c>
      <c r="B8" s="22" t="s">
        <v>10</v>
      </c>
      <c r="C8" s="21" t="s">
        <v>9</v>
      </c>
      <c r="D8" s="160" t="s">
        <v>8</v>
      </c>
      <c r="E8" s="161"/>
      <c r="F8" s="161"/>
      <c r="G8" s="161"/>
      <c r="H8" s="161"/>
      <c r="I8" s="161"/>
      <c r="J8" s="161"/>
      <c r="K8" s="161"/>
      <c r="L8" s="161"/>
      <c r="M8" s="161"/>
      <c r="N8" s="161"/>
      <c r="O8" s="161"/>
      <c r="P8" s="161"/>
      <c r="Q8" s="161"/>
      <c r="R8" s="161"/>
      <c r="S8" s="161"/>
      <c r="T8" s="161"/>
      <c r="U8" s="161"/>
      <c r="V8" s="161"/>
      <c r="W8" s="161"/>
      <c r="X8" s="161"/>
      <c r="Y8" s="161"/>
      <c r="Z8" s="162"/>
    </row>
    <row r="9" spans="1:26" ht="15.75" thickBot="1" x14ac:dyDescent="0.3">
      <c r="A9" s="7"/>
      <c r="B9" s="20"/>
      <c r="C9" s="19" t="e">
        <f t="shared" ref="C9:C16" si="0">AVERAGE(D9:Z9)</f>
        <v>#DIV/0!</v>
      </c>
      <c r="D9" s="18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6"/>
    </row>
    <row r="10" spans="1:26" ht="15.75" thickBot="1" x14ac:dyDescent="0.3">
      <c r="A10" s="7"/>
      <c r="B10" s="20"/>
      <c r="C10" s="19" t="e">
        <f t="shared" si="0"/>
        <v>#DIV/0!</v>
      </c>
      <c r="D10" s="18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6"/>
    </row>
    <row r="11" spans="1:26" ht="15.75" thickBot="1" x14ac:dyDescent="0.3">
      <c r="A11" s="7"/>
      <c r="B11" s="20"/>
      <c r="C11" s="19" t="e">
        <f t="shared" si="0"/>
        <v>#DIV/0!</v>
      </c>
      <c r="D11" s="18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6"/>
    </row>
    <row r="12" spans="1:26" ht="15.75" thickBot="1" x14ac:dyDescent="0.3">
      <c r="A12" s="7"/>
      <c r="B12" s="20"/>
      <c r="C12" s="19" t="e">
        <f t="shared" si="0"/>
        <v>#DIV/0!</v>
      </c>
      <c r="D12" s="18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6"/>
    </row>
    <row r="13" spans="1:26" ht="15.75" thickBot="1" x14ac:dyDescent="0.3">
      <c r="A13" s="7"/>
      <c r="B13" s="20"/>
      <c r="C13" s="19" t="e">
        <f t="shared" si="0"/>
        <v>#DIV/0!</v>
      </c>
      <c r="D13" s="18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6"/>
    </row>
    <row r="14" spans="1:26" ht="15.75" thickBot="1" x14ac:dyDescent="0.3">
      <c r="A14" s="7"/>
      <c r="B14" s="20"/>
      <c r="C14" s="19" t="e">
        <f t="shared" si="0"/>
        <v>#DIV/0!</v>
      </c>
      <c r="D14" s="18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6"/>
    </row>
    <row r="15" spans="1:26" ht="15.75" thickBot="1" x14ac:dyDescent="0.3">
      <c r="A15" s="7"/>
      <c r="B15" s="20"/>
      <c r="C15" s="19" t="e">
        <f t="shared" si="0"/>
        <v>#DIV/0!</v>
      </c>
      <c r="D15" s="18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6"/>
    </row>
    <row r="16" spans="1:26" ht="15.75" thickBot="1" x14ac:dyDescent="0.3">
      <c r="A16" s="7"/>
      <c r="B16" s="20"/>
      <c r="C16" s="15" t="e">
        <f t="shared" si="0"/>
        <v>#DIV/0!</v>
      </c>
      <c r="D16" s="14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2"/>
    </row>
    <row r="22" spans="1:11" x14ac:dyDescent="0.25">
      <c r="K22" t="s">
        <v>116</v>
      </c>
    </row>
    <row r="25" spans="1:11" ht="15.75" thickBot="1" x14ac:dyDescent="0.3"/>
    <row r="26" spans="1:11" ht="15.75" thickBot="1" x14ac:dyDescent="0.3">
      <c r="A26" s="143" t="s">
        <v>102</v>
      </c>
      <c r="B26" s="144"/>
      <c r="C26" s="144"/>
      <c r="D26" s="144"/>
      <c r="E26" s="144"/>
      <c r="F26" s="144"/>
      <c r="G26" s="145"/>
    </row>
    <row r="27" spans="1:11" x14ac:dyDescent="0.25">
      <c r="A27" s="154"/>
      <c r="B27" s="155"/>
      <c r="C27" s="155"/>
      <c r="D27" s="155"/>
      <c r="E27" s="155"/>
      <c r="F27" s="155"/>
      <c r="G27" s="156"/>
    </row>
    <row r="28" spans="1:11" x14ac:dyDescent="0.25">
      <c r="A28" s="146"/>
      <c r="B28" s="147"/>
      <c r="C28" s="147"/>
      <c r="D28" s="147"/>
      <c r="E28" s="147"/>
      <c r="F28" s="147"/>
      <c r="G28" s="148"/>
    </row>
    <row r="29" spans="1:11" ht="15.75" thickBot="1" x14ac:dyDescent="0.3">
      <c r="A29" s="149"/>
      <c r="B29" s="150"/>
      <c r="C29" s="150"/>
      <c r="D29" s="150"/>
      <c r="E29" s="150"/>
      <c r="F29" s="150"/>
      <c r="G29" s="151"/>
    </row>
    <row r="30" spans="1:11" ht="15.75" thickBot="1" x14ac:dyDescent="0.3">
      <c r="C30"/>
    </row>
    <row r="31" spans="1:11" ht="15.75" thickBot="1" x14ac:dyDescent="0.3">
      <c r="A31" s="157" t="s">
        <v>101</v>
      </c>
      <c r="B31" s="158"/>
      <c r="C31" s="158"/>
      <c r="D31" s="158"/>
      <c r="E31" s="158"/>
      <c r="F31" s="158"/>
      <c r="G31" s="159"/>
    </row>
    <row r="32" spans="1:11" x14ac:dyDescent="0.25">
      <c r="A32" s="146" t="s">
        <v>114</v>
      </c>
      <c r="B32" s="147"/>
      <c r="C32" s="147"/>
      <c r="D32" s="147"/>
      <c r="E32" s="147"/>
      <c r="F32" s="147"/>
      <c r="G32" s="148"/>
    </row>
    <row r="33" spans="1:7" x14ac:dyDescent="0.25">
      <c r="A33" s="146" t="s">
        <v>115</v>
      </c>
      <c r="B33" s="147"/>
      <c r="C33" s="147"/>
      <c r="D33" s="147"/>
      <c r="E33" s="147"/>
      <c r="F33" s="147"/>
      <c r="G33" s="148"/>
    </row>
    <row r="34" spans="1:7" ht="15.75" thickBot="1" x14ac:dyDescent="0.3">
      <c r="A34" s="149"/>
      <c r="B34" s="150"/>
      <c r="C34" s="150"/>
      <c r="D34" s="150"/>
      <c r="E34" s="150"/>
      <c r="F34" s="150"/>
      <c r="G34" s="151"/>
    </row>
  </sheetData>
  <dataConsolidate/>
  <mergeCells count="10">
    <mergeCell ref="A29:G29"/>
    <mergeCell ref="A31:G31"/>
    <mergeCell ref="A32:G32"/>
    <mergeCell ref="A33:G33"/>
    <mergeCell ref="A34:G34"/>
    <mergeCell ref="D8:Z8"/>
    <mergeCell ref="A1:B2"/>
    <mergeCell ref="A26:G26"/>
    <mergeCell ref="A27:G27"/>
    <mergeCell ref="A28:G28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xr:uid="{20F4079F-40C7-4799-AFFC-A8D34FB20D30}">
          <x14:formula1>
            <xm:f>Datenbank!$A$2:$A$13</xm:f>
          </x14:formula1>
          <xm:sqref>A9:A16</xm:sqref>
        </x14:dataValidation>
        <x14:dataValidation type="list" allowBlank="1" showInputMessage="1" xr:uid="{B5B941F5-5DEA-40C0-BBAD-E04541BB169B}">
          <x14:formula1>
            <xm:f>Datenbank!$B$2:$B$13</xm:f>
          </x14:formula1>
          <xm:sqref>B9:B16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2D11E-2A87-4A73-9546-9D3938378C0A}">
  <sheetPr codeName="Sheet12">
    <tabColor theme="9" tint="-0.249977111117893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35D2A-89F2-492C-88AC-A74E554840F7}">
  <sheetPr codeName="Sheet6">
    <tabColor theme="4"/>
  </sheetPr>
  <dimension ref="A1:J101"/>
  <sheetViews>
    <sheetView workbookViewId="0"/>
  </sheetViews>
  <sheetFormatPr defaultRowHeight="15" x14ac:dyDescent="0.25"/>
  <cols>
    <col min="1" max="1" width="19" customWidth="1"/>
    <col min="3" max="3" width="11.7109375" customWidth="1"/>
    <col min="4" max="4" width="10.42578125" customWidth="1"/>
    <col min="5" max="5" width="13" customWidth="1"/>
    <col min="6" max="6" width="11.42578125" bestFit="1" customWidth="1"/>
    <col min="8" max="8" width="11.140625" style="49" customWidth="1"/>
    <col min="10" max="10" width="12.5703125" customWidth="1"/>
  </cols>
  <sheetData>
    <row r="1" spans="1:10" ht="15.75" thickBot="1" x14ac:dyDescent="0.3">
      <c r="A1" s="43" t="s">
        <v>11</v>
      </c>
      <c r="B1" s="44" t="s">
        <v>58</v>
      </c>
      <c r="C1" s="44" t="s">
        <v>57</v>
      </c>
      <c r="D1" s="44" t="s">
        <v>56</v>
      </c>
      <c r="E1" s="45" t="s">
        <v>55</v>
      </c>
      <c r="F1" s="44" t="s">
        <v>61</v>
      </c>
      <c r="H1" s="48" t="s">
        <v>76</v>
      </c>
      <c r="J1" t="s">
        <v>86</v>
      </c>
    </row>
    <row r="2" spans="1:10" x14ac:dyDescent="0.25">
      <c r="A2" s="40" t="s">
        <v>54</v>
      </c>
      <c r="B2" s="41" t="s">
        <v>53</v>
      </c>
      <c r="C2" s="41" t="s">
        <v>52</v>
      </c>
      <c r="D2" s="41" t="s">
        <v>51</v>
      </c>
      <c r="E2" s="42" t="s">
        <v>50</v>
      </c>
      <c r="F2" s="41" t="s">
        <v>62</v>
      </c>
      <c r="H2" s="48">
        <v>0.01</v>
      </c>
      <c r="J2" t="s">
        <v>88</v>
      </c>
    </row>
    <row r="3" spans="1:10" x14ac:dyDescent="0.25">
      <c r="A3" s="40" t="s">
        <v>49</v>
      </c>
      <c r="B3" s="41" t="s">
        <v>48</v>
      </c>
      <c r="C3" s="41" t="s">
        <v>47</v>
      </c>
      <c r="D3" s="41" t="s">
        <v>46</v>
      </c>
      <c r="E3" s="42" t="s">
        <v>45</v>
      </c>
      <c r="F3" s="41" t="s">
        <v>63</v>
      </c>
      <c r="H3" s="48">
        <v>0.02</v>
      </c>
      <c r="J3" t="s">
        <v>89</v>
      </c>
    </row>
    <row r="4" spans="1:10" x14ac:dyDescent="0.25">
      <c r="A4" s="40" t="s">
        <v>44</v>
      </c>
      <c r="B4" s="41" t="s">
        <v>43</v>
      </c>
      <c r="C4" s="41" t="s">
        <v>42</v>
      </c>
      <c r="D4" s="41" t="s">
        <v>41</v>
      </c>
      <c r="E4" s="42" t="s">
        <v>60</v>
      </c>
      <c r="F4" s="41" t="s">
        <v>64</v>
      </c>
      <c r="H4" s="48">
        <v>0.03</v>
      </c>
    </row>
    <row r="5" spans="1:10" x14ac:dyDescent="0.25">
      <c r="A5" s="40" t="s">
        <v>40</v>
      </c>
      <c r="B5" s="41"/>
      <c r="C5" s="41" t="s">
        <v>39</v>
      </c>
      <c r="D5" s="41" t="s">
        <v>38</v>
      </c>
      <c r="E5" s="42"/>
      <c r="F5" s="41" t="s">
        <v>65</v>
      </c>
      <c r="H5" s="48">
        <v>0.04</v>
      </c>
    </row>
    <row r="6" spans="1:10" x14ac:dyDescent="0.25">
      <c r="A6" s="40" t="s">
        <v>37</v>
      </c>
      <c r="B6" s="41"/>
      <c r="C6" s="41" t="s">
        <v>36</v>
      </c>
      <c r="D6" s="41" t="s">
        <v>35</v>
      </c>
      <c r="E6" s="42"/>
      <c r="F6" s="41" t="s">
        <v>66</v>
      </c>
      <c r="H6" s="48">
        <v>0.05</v>
      </c>
    </row>
    <row r="7" spans="1:10" x14ac:dyDescent="0.25">
      <c r="A7" s="40" t="s">
        <v>34</v>
      </c>
      <c r="B7" s="41"/>
      <c r="C7" s="41" t="s">
        <v>33</v>
      </c>
      <c r="D7" s="41" t="s">
        <v>32</v>
      </c>
      <c r="E7" s="42"/>
      <c r="F7" s="41" t="s">
        <v>67</v>
      </c>
      <c r="H7" s="48">
        <v>0.06</v>
      </c>
    </row>
    <row r="8" spans="1:10" x14ac:dyDescent="0.25">
      <c r="A8" s="40"/>
      <c r="B8" s="41"/>
      <c r="C8" s="41" t="s">
        <v>31</v>
      </c>
      <c r="D8" s="41"/>
      <c r="E8" s="42"/>
      <c r="F8" s="41" t="s">
        <v>68</v>
      </c>
      <c r="H8" s="48">
        <v>7.0000000000000007E-2</v>
      </c>
    </row>
    <row r="9" spans="1:10" x14ac:dyDescent="0.25">
      <c r="A9" s="40"/>
      <c r="B9" s="41"/>
      <c r="C9" s="41" t="s">
        <v>30</v>
      </c>
      <c r="D9" s="41"/>
      <c r="E9" s="42"/>
      <c r="F9" s="41" t="s">
        <v>69</v>
      </c>
      <c r="H9" s="48">
        <v>0.08</v>
      </c>
    </row>
    <row r="10" spans="1:10" x14ac:dyDescent="0.25">
      <c r="A10" s="40"/>
      <c r="B10" s="41"/>
      <c r="C10" s="41"/>
      <c r="D10" s="41"/>
      <c r="E10" s="42"/>
      <c r="F10" s="41" t="s">
        <v>70</v>
      </c>
      <c r="H10" s="48">
        <v>0.09</v>
      </c>
    </row>
    <row r="11" spans="1:10" x14ac:dyDescent="0.25">
      <c r="A11" s="40"/>
      <c r="B11" s="41"/>
      <c r="C11" s="41"/>
      <c r="D11" s="41"/>
      <c r="E11" s="42"/>
      <c r="F11" s="41" t="s">
        <v>71</v>
      </c>
      <c r="H11" s="48">
        <v>0.1</v>
      </c>
    </row>
    <row r="12" spans="1:10" x14ac:dyDescent="0.25">
      <c r="A12" s="40"/>
      <c r="B12" s="41"/>
      <c r="C12" s="41"/>
      <c r="D12" s="41"/>
      <c r="E12" s="42"/>
      <c r="F12" s="41" t="s">
        <v>72</v>
      </c>
      <c r="H12" s="48">
        <v>0.11</v>
      </c>
    </row>
    <row r="13" spans="1:10" x14ac:dyDescent="0.25">
      <c r="A13" s="40"/>
      <c r="B13" s="41"/>
      <c r="C13" s="41"/>
      <c r="D13" s="41"/>
      <c r="E13" s="42"/>
      <c r="F13" s="41" t="s">
        <v>73</v>
      </c>
      <c r="H13" s="48">
        <v>0.12</v>
      </c>
    </row>
    <row r="14" spans="1:10" x14ac:dyDescent="0.25">
      <c r="H14" s="48">
        <v>0.13</v>
      </c>
    </row>
    <row r="15" spans="1:10" x14ac:dyDescent="0.25">
      <c r="H15" s="48">
        <v>0.14000000000000001</v>
      </c>
    </row>
    <row r="16" spans="1:10" x14ac:dyDescent="0.25">
      <c r="H16" s="48">
        <v>0.15</v>
      </c>
    </row>
    <row r="17" spans="8:8" x14ac:dyDescent="0.25">
      <c r="H17" s="48">
        <v>0.16</v>
      </c>
    </row>
    <row r="18" spans="8:8" x14ac:dyDescent="0.25">
      <c r="H18" s="48">
        <v>0.17</v>
      </c>
    </row>
    <row r="19" spans="8:8" x14ac:dyDescent="0.25">
      <c r="H19" s="48">
        <v>0.18</v>
      </c>
    </row>
    <row r="20" spans="8:8" x14ac:dyDescent="0.25">
      <c r="H20" s="48">
        <v>0.19</v>
      </c>
    </row>
    <row r="21" spans="8:8" x14ac:dyDescent="0.25">
      <c r="H21" s="48">
        <v>0.2</v>
      </c>
    </row>
    <row r="22" spans="8:8" x14ac:dyDescent="0.25">
      <c r="H22" s="48">
        <v>0.21</v>
      </c>
    </row>
    <row r="23" spans="8:8" x14ac:dyDescent="0.25">
      <c r="H23" s="48">
        <v>0.22</v>
      </c>
    </row>
    <row r="24" spans="8:8" x14ac:dyDescent="0.25">
      <c r="H24" s="48">
        <v>0.23</v>
      </c>
    </row>
    <row r="25" spans="8:8" x14ac:dyDescent="0.25">
      <c r="H25" s="48">
        <v>0.24</v>
      </c>
    </row>
    <row r="26" spans="8:8" x14ac:dyDescent="0.25">
      <c r="H26" s="48">
        <v>0.25</v>
      </c>
    </row>
    <row r="27" spans="8:8" x14ac:dyDescent="0.25">
      <c r="H27" s="48">
        <v>0.26</v>
      </c>
    </row>
    <row r="28" spans="8:8" x14ac:dyDescent="0.25">
      <c r="H28" s="48">
        <v>0.27</v>
      </c>
    </row>
    <row r="29" spans="8:8" x14ac:dyDescent="0.25">
      <c r="H29" s="48">
        <v>0.28000000000000003</v>
      </c>
    </row>
    <row r="30" spans="8:8" x14ac:dyDescent="0.25">
      <c r="H30" s="48">
        <v>0.28999999999999998</v>
      </c>
    </row>
    <row r="31" spans="8:8" x14ac:dyDescent="0.25">
      <c r="H31" s="48">
        <v>0.3</v>
      </c>
    </row>
    <row r="32" spans="8:8" x14ac:dyDescent="0.25">
      <c r="H32" s="48">
        <v>0.31</v>
      </c>
    </row>
    <row r="33" spans="8:8" x14ac:dyDescent="0.25">
      <c r="H33" s="48">
        <v>0.32</v>
      </c>
    </row>
    <row r="34" spans="8:8" x14ac:dyDescent="0.25">
      <c r="H34" s="48">
        <v>0.33</v>
      </c>
    </row>
    <row r="35" spans="8:8" x14ac:dyDescent="0.25">
      <c r="H35" s="48">
        <v>0.34</v>
      </c>
    </row>
    <row r="36" spans="8:8" x14ac:dyDescent="0.25">
      <c r="H36" s="48">
        <v>0.35</v>
      </c>
    </row>
    <row r="37" spans="8:8" x14ac:dyDescent="0.25">
      <c r="H37" s="48">
        <v>0.36</v>
      </c>
    </row>
    <row r="38" spans="8:8" x14ac:dyDescent="0.25">
      <c r="H38" s="48">
        <v>0.37</v>
      </c>
    </row>
    <row r="39" spans="8:8" x14ac:dyDescent="0.25">
      <c r="H39" s="48">
        <v>0.38</v>
      </c>
    </row>
    <row r="40" spans="8:8" x14ac:dyDescent="0.25">
      <c r="H40" s="48">
        <v>0.39</v>
      </c>
    </row>
    <row r="41" spans="8:8" x14ac:dyDescent="0.25">
      <c r="H41" s="48">
        <v>0.4</v>
      </c>
    </row>
    <row r="42" spans="8:8" x14ac:dyDescent="0.25">
      <c r="H42" s="48">
        <v>0.41</v>
      </c>
    </row>
    <row r="43" spans="8:8" x14ac:dyDescent="0.25">
      <c r="H43" s="48">
        <v>0.42</v>
      </c>
    </row>
    <row r="44" spans="8:8" x14ac:dyDescent="0.25">
      <c r="H44" s="48">
        <v>0.43</v>
      </c>
    </row>
    <row r="45" spans="8:8" x14ac:dyDescent="0.25">
      <c r="H45" s="48">
        <v>0.44</v>
      </c>
    </row>
    <row r="46" spans="8:8" x14ac:dyDescent="0.25">
      <c r="H46" s="48">
        <v>0.45</v>
      </c>
    </row>
    <row r="47" spans="8:8" x14ac:dyDescent="0.25">
      <c r="H47" s="48">
        <v>0.46</v>
      </c>
    </row>
    <row r="48" spans="8:8" x14ac:dyDescent="0.25">
      <c r="H48" s="48">
        <v>0.47</v>
      </c>
    </row>
    <row r="49" spans="8:8" x14ac:dyDescent="0.25">
      <c r="H49" s="48">
        <v>0.48</v>
      </c>
    </row>
    <row r="50" spans="8:8" x14ac:dyDescent="0.25">
      <c r="H50" s="48">
        <v>0.49</v>
      </c>
    </row>
    <row r="51" spans="8:8" x14ac:dyDescent="0.25">
      <c r="H51" s="48">
        <v>0.5</v>
      </c>
    </row>
    <row r="52" spans="8:8" x14ac:dyDescent="0.25">
      <c r="H52" s="48">
        <v>0.51</v>
      </c>
    </row>
    <row r="53" spans="8:8" x14ac:dyDescent="0.25">
      <c r="H53" s="48">
        <v>0.52</v>
      </c>
    </row>
    <row r="54" spans="8:8" x14ac:dyDescent="0.25">
      <c r="H54" s="48">
        <v>0.53</v>
      </c>
    </row>
    <row r="55" spans="8:8" x14ac:dyDescent="0.25">
      <c r="H55" s="48">
        <v>0.54</v>
      </c>
    </row>
    <row r="56" spans="8:8" x14ac:dyDescent="0.25">
      <c r="H56" s="48">
        <v>0.55000000000000004</v>
      </c>
    </row>
    <row r="57" spans="8:8" x14ac:dyDescent="0.25">
      <c r="H57" s="48">
        <v>0.56000000000000005</v>
      </c>
    </row>
    <row r="58" spans="8:8" x14ac:dyDescent="0.25">
      <c r="H58" s="48">
        <v>0.56999999999999995</v>
      </c>
    </row>
    <row r="59" spans="8:8" x14ac:dyDescent="0.25">
      <c r="H59" s="48">
        <v>0.57999999999999996</v>
      </c>
    </row>
    <row r="60" spans="8:8" x14ac:dyDescent="0.25">
      <c r="H60" s="48">
        <v>0.59</v>
      </c>
    </row>
    <row r="61" spans="8:8" x14ac:dyDescent="0.25">
      <c r="H61" s="48">
        <v>0.6</v>
      </c>
    </row>
    <row r="62" spans="8:8" x14ac:dyDescent="0.25">
      <c r="H62" s="48">
        <v>0.61</v>
      </c>
    </row>
    <row r="63" spans="8:8" x14ac:dyDescent="0.25">
      <c r="H63" s="48">
        <v>0.62</v>
      </c>
    </row>
    <row r="64" spans="8:8" x14ac:dyDescent="0.25">
      <c r="H64" s="48">
        <v>0.63</v>
      </c>
    </row>
    <row r="65" spans="8:8" x14ac:dyDescent="0.25">
      <c r="H65" s="48">
        <v>0.64</v>
      </c>
    </row>
    <row r="66" spans="8:8" x14ac:dyDescent="0.25">
      <c r="H66" s="48">
        <v>0.65</v>
      </c>
    </row>
    <row r="67" spans="8:8" x14ac:dyDescent="0.25">
      <c r="H67" s="48">
        <v>0.66</v>
      </c>
    </row>
    <row r="68" spans="8:8" x14ac:dyDescent="0.25">
      <c r="H68" s="48">
        <v>0.67</v>
      </c>
    </row>
    <row r="69" spans="8:8" x14ac:dyDescent="0.25">
      <c r="H69" s="48">
        <v>0.68</v>
      </c>
    </row>
    <row r="70" spans="8:8" x14ac:dyDescent="0.25">
      <c r="H70" s="48">
        <v>0.69</v>
      </c>
    </row>
    <row r="71" spans="8:8" x14ac:dyDescent="0.25">
      <c r="H71" s="48">
        <v>0.7</v>
      </c>
    </row>
    <row r="72" spans="8:8" x14ac:dyDescent="0.25">
      <c r="H72" s="48">
        <v>0.71</v>
      </c>
    </row>
    <row r="73" spans="8:8" x14ac:dyDescent="0.25">
      <c r="H73" s="48">
        <v>0.72</v>
      </c>
    </row>
    <row r="74" spans="8:8" x14ac:dyDescent="0.25">
      <c r="H74" s="48">
        <v>0.73</v>
      </c>
    </row>
    <row r="75" spans="8:8" x14ac:dyDescent="0.25">
      <c r="H75" s="48">
        <v>0.74</v>
      </c>
    </row>
    <row r="76" spans="8:8" x14ac:dyDescent="0.25">
      <c r="H76" s="48">
        <v>0.75</v>
      </c>
    </row>
    <row r="77" spans="8:8" x14ac:dyDescent="0.25">
      <c r="H77" s="48">
        <v>0.76</v>
      </c>
    </row>
    <row r="78" spans="8:8" x14ac:dyDescent="0.25">
      <c r="H78" s="48">
        <v>0.77</v>
      </c>
    </row>
    <row r="79" spans="8:8" x14ac:dyDescent="0.25">
      <c r="H79" s="48">
        <v>0.78</v>
      </c>
    </row>
    <row r="80" spans="8:8" x14ac:dyDescent="0.25">
      <c r="H80" s="48">
        <v>0.79</v>
      </c>
    </row>
    <row r="81" spans="8:8" x14ac:dyDescent="0.25">
      <c r="H81" s="48">
        <v>0.8</v>
      </c>
    </row>
    <row r="82" spans="8:8" x14ac:dyDescent="0.25">
      <c r="H82" s="48">
        <v>0.81</v>
      </c>
    </row>
    <row r="83" spans="8:8" x14ac:dyDescent="0.25">
      <c r="H83" s="48">
        <v>0.82</v>
      </c>
    </row>
    <row r="84" spans="8:8" x14ac:dyDescent="0.25">
      <c r="H84" s="48">
        <v>0.83</v>
      </c>
    </row>
    <row r="85" spans="8:8" x14ac:dyDescent="0.25">
      <c r="H85" s="48">
        <v>0.84</v>
      </c>
    </row>
    <row r="86" spans="8:8" x14ac:dyDescent="0.25">
      <c r="H86" s="48">
        <v>0.85</v>
      </c>
    </row>
    <row r="87" spans="8:8" x14ac:dyDescent="0.25">
      <c r="H87" s="48">
        <v>0.86</v>
      </c>
    </row>
    <row r="88" spans="8:8" x14ac:dyDescent="0.25">
      <c r="H88" s="48">
        <v>0.87</v>
      </c>
    </row>
    <row r="89" spans="8:8" x14ac:dyDescent="0.25">
      <c r="H89" s="48">
        <v>0.88</v>
      </c>
    </row>
    <row r="90" spans="8:8" x14ac:dyDescent="0.25">
      <c r="H90" s="48">
        <v>0.89</v>
      </c>
    </row>
    <row r="91" spans="8:8" x14ac:dyDescent="0.25">
      <c r="H91" s="48">
        <v>0.9</v>
      </c>
    </row>
    <row r="92" spans="8:8" x14ac:dyDescent="0.25">
      <c r="H92" s="48">
        <v>0.91</v>
      </c>
    </row>
    <row r="93" spans="8:8" x14ac:dyDescent="0.25">
      <c r="H93" s="48">
        <v>0.92</v>
      </c>
    </row>
    <row r="94" spans="8:8" x14ac:dyDescent="0.25">
      <c r="H94" s="48">
        <v>0.93</v>
      </c>
    </row>
    <row r="95" spans="8:8" x14ac:dyDescent="0.25">
      <c r="H95" s="48">
        <v>0.94</v>
      </c>
    </row>
    <row r="96" spans="8:8" x14ac:dyDescent="0.25">
      <c r="H96" s="48">
        <v>0.95</v>
      </c>
    </row>
    <row r="97" spans="8:8" x14ac:dyDescent="0.25">
      <c r="H97" s="48">
        <v>0.96</v>
      </c>
    </row>
    <row r="98" spans="8:8" x14ac:dyDescent="0.25">
      <c r="H98" s="48">
        <v>0.97</v>
      </c>
    </row>
    <row r="99" spans="8:8" x14ac:dyDescent="0.25">
      <c r="H99" s="48">
        <v>0.98</v>
      </c>
    </row>
    <row r="100" spans="8:8" x14ac:dyDescent="0.25">
      <c r="H100" s="48">
        <v>0.99</v>
      </c>
    </row>
    <row r="101" spans="8:8" x14ac:dyDescent="0.25">
      <c r="H101" s="48">
        <v>1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Klasse Steuerfeld</vt:lpstr>
      <vt:lpstr>Prüfung Steuerfeld</vt:lpstr>
      <vt:lpstr>PrüfungÜbersichtVorlage</vt:lpstr>
      <vt:lpstr>PrüfungKlassenlisteVorlage</vt:lpstr>
      <vt:lpstr>PrüfungDeckblattVorlage</vt:lpstr>
      <vt:lpstr>KlassenbogenVorlage</vt:lpstr>
      <vt:lpstr>SchülerbogenVorlage</vt:lpstr>
      <vt:lpstr>SchülerbeobachtungVorlage</vt:lpstr>
      <vt:lpstr>Datenbank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Fisch Earl-Geoffrey</dc:creator>
  <cp:lastModifiedBy>Earl-Geoffrey Fisch</cp:lastModifiedBy>
  <dcterms:created xsi:type="dcterms:W3CDTF">2023-09-02T17:22:23Z</dcterms:created>
  <dcterms:modified xsi:type="dcterms:W3CDTF">2023-09-07T15:12:11Z</dcterms:modified>
</cp:coreProperties>
</file>