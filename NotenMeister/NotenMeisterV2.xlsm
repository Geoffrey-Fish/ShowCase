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371ada994568ecf/Documents/NotenMeister/"/>
    </mc:Choice>
  </mc:AlternateContent>
  <xr:revisionPtr revIDLastSave="1023" documentId="8_{381E0FF4-59F6-4372-9B9B-84BC239ADF55}" xr6:coauthVersionLast="47" xr6:coauthVersionMax="47" xr10:uidLastSave="{3B52F605-5CA4-4A68-B22E-C26BF10EFE98}"/>
  <bookViews>
    <workbookView xWindow="-28920" yWindow="-120" windowWidth="29040" windowHeight="15720" tabRatio="972" firstSheet="1" activeTab="1" xr2:uid="{8D307EC7-DAD3-43F5-9707-4A2293615124}"/>
  </bookViews>
  <sheets>
    <sheet name="Klasse Steuerfeld" sheetId="16" r:id="rId1"/>
    <sheet name="Prüfung Steuerfeld" sheetId="15" r:id="rId2"/>
    <sheet name="PrüfungÜbersichtVorlage" sheetId="7" r:id="rId3"/>
    <sheet name="PrüfungKlassenlisteVorlage" sheetId="5" r:id="rId4"/>
    <sheet name="PrüfungDeckblattVorlage" sheetId="6" r:id="rId5"/>
    <sheet name="KlassenbogenVorlage" sheetId="3" r:id="rId6"/>
    <sheet name="SchülerbogenVorlage" sheetId="4" r:id="rId7"/>
    <sheet name="JahresübersichtVorlage" sheetId="157" r:id="rId8"/>
    <sheet name="Datenbank" sheetId="8" r:id="rId9"/>
    <sheet name="TODO" sheetId="5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4" l="1"/>
  <c r="C36" i="4"/>
  <c r="C35" i="4"/>
  <c r="C34" i="4"/>
  <c r="C33" i="4"/>
  <c r="C32" i="4"/>
  <c r="C31" i="4"/>
  <c r="I2" i="5"/>
  <c r="I3" i="5"/>
  <c r="I4" i="5"/>
  <c r="I5" i="5"/>
  <c r="I6" i="5"/>
  <c r="I1" i="5"/>
  <c r="G2" i="7"/>
  <c r="G1" i="7"/>
  <c r="G4" i="7"/>
  <c r="G3" i="7"/>
  <c r="I5" i="7"/>
  <c r="I6" i="7"/>
  <c r="I7" i="7"/>
  <c r="I8" i="7"/>
  <c r="I9" i="7"/>
  <c r="I4" i="7"/>
  <c r="H5" i="7" s="1"/>
  <c r="H4" i="7"/>
  <c r="C9" i="157" a="1"/>
  <c r="C15" i="157" a="1"/>
  <c r="C21" i="157" a="1"/>
  <c r="C27" i="157" a="1"/>
  <c r="C33" i="157" a="1"/>
  <c r="C16" i="157" a="1"/>
  <c r="C22" i="157" a="1"/>
  <c r="C28" i="157" a="1"/>
  <c r="C34" i="157" a="1"/>
  <c r="C17" i="157" a="1"/>
  <c r="C23" i="157" a="1"/>
  <c r="C29" i="157" a="1"/>
  <c r="C18" i="157" a="1"/>
  <c r="C30" i="157" a="1"/>
  <c r="C13" i="157" a="1"/>
  <c r="C14" i="157" a="1"/>
  <c r="C10" i="157" a="1"/>
  <c r="C24" i="157" a="1"/>
  <c r="C19" i="157" a="1"/>
  <c r="C31" i="157" a="1"/>
  <c r="C20" i="157" a="1"/>
  <c r="C25" i="157" a="1"/>
  <c r="C11" i="157" a="1"/>
  <c r="C26" i="157" a="1"/>
  <c r="C12" i="157" a="1"/>
  <c r="C32" i="157" a="1"/>
  <c r="C8" i="157" a="1"/>
  <c r="C32" i="157" l="1"/>
  <c r="A34" i="157" s="1"/>
  <c r="C12" i="157"/>
  <c r="C26" i="157"/>
  <c r="A28" i="157" s="1"/>
  <c r="C11" i="157"/>
  <c r="A13" i="157" s="1"/>
  <c r="C25" i="157"/>
  <c r="C20" i="157"/>
  <c r="A22" i="157" s="1"/>
  <c r="C31" i="157"/>
  <c r="C19" i="157"/>
  <c r="C24" i="157"/>
  <c r="C10" i="157"/>
  <c r="C14" i="157"/>
  <c r="A16" i="157" s="1"/>
  <c r="C13" i="157"/>
  <c r="C30" i="157"/>
  <c r="C18" i="157"/>
  <c r="C29" i="157"/>
  <c r="A31" i="157" s="1"/>
  <c r="C23" i="157"/>
  <c r="A25" i="157" s="1"/>
  <c r="C17" i="157"/>
  <c r="A19" i="157" s="1"/>
  <c r="C34" i="157"/>
  <c r="C28" i="157"/>
  <c r="C22" i="157"/>
  <c r="C16" i="157"/>
  <c r="C33" i="157"/>
  <c r="C27" i="157"/>
  <c r="C21" i="157"/>
  <c r="C15" i="157"/>
  <c r="C9" i="157"/>
  <c r="C8" i="157"/>
  <c r="A10" i="157" s="1"/>
  <c r="H6" i="7"/>
  <c r="H7" i="7" l="1"/>
  <c r="H8" i="7" l="1"/>
  <c r="H9" i="7" l="1"/>
  <c r="C27" i="4"/>
  <c r="C21" i="4"/>
  <c r="C19" i="4"/>
  <c r="C11" i="4"/>
  <c r="C29" i="4"/>
  <c r="C18" i="4"/>
  <c r="C22" i="4"/>
  <c r="C24" i="4"/>
  <c r="C14" i="4"/>
  <c r="C23" i="4"/>
  <c r="C15" i="4"/>
  <c r="C25" i="4"/>
  <c r="C30" i="4"/>
  <c r="C28" i="4"/>
  <c r="C17" i="4"/>
  <c r="C20" i="4"/>
  <c r="C12" i="4"/>
  <c r="C13" i="4"/>
  <c r="C16" i="4"/>
  <c r="C2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<sst xmlns="http://schemas.openxmlformats.org/spreadsheetml/2006/main" count="180" uniqueCount="106">
  <si>
    <t>Jahrgang:</t>
  </si>
  <si>
    <t>Klasse:</t>
  </si>
  <si>
    <t>Klassenbogen Übersicht Gesamt</t>
  </si>
  <si>
    <t>⌀</t>
  </si>
  <si>
    <t xml:space="preserve">Typ: </t>
  </si>
  <si>
    <t>Fach</t>
  </si>
  <si>
    <t>Datum</t>
  </si>
  <si>
    <t>Thema</t>
  </si>
  <si>
    <t>Schülerbogen</t>
  </si>
  <si>
    <t>Note</t>
  </si>
  <si>
    <t>Fehler</t>
  </si>
  <si>
    <t>Max. Punkte:</t>
  </si>
  <si>
    <t>Notenschlüssel</t>
  </si>
  <si>
    <t>Bemerkung</t>
  </si>
  <si>
    <t>Punkte</t>
  </si>
  <si>
    <t>4D</t>
  </si>
  <si>
    <t>4C</t>
  </si>
  <si>
    <t>4B</t>
  </si>
  <si>
    <t>Musik</t>
  </si>
  <si>
    <t>4A</t>
  </si>
  <si>
    <t>Mathematik</t>
  </si>
  <si>
    <t>3D</t>
  </si>
  <si>
    <t>Kunst</t>
  </si>
  <si>
    <t>3C</t>
  </si>
  <si>
    <t>MÜN</t>
  </si>
  <si>
    <t>HSU</t>
  </si>
  <si>
    <t>Weiblich</t>
  </si>
  <si>
    <t>3B</t>
  </si>
  <si>
    <t>PRA</t>
  </si>
  <si>
    <t>Männlich</t>
  </si>
  <si>
    <t>3A</t>
  </si>
  <si>
    <t>SLN</t>
  </si>
  <si>
    <t>Deutsch</t>
  </si>
  <si>
    <t>Geschlecht</t>
  </si>
  <si>
    <t>Religion</t>
  </si>
  <si>
    <t>Klasse</t>
  </si>
  <si>
    <t>Typ</t>
  </si>
  <si>
    <t>Divers</t>
  </si>
  <si>
    <t>Schuljahr</t>
  </si>
  <si>
    <t>Datum:</t>
  </si>
  <si>
    <t>Thema:</t>
  </si>
  <si>
    <t>Prozente</t>
  </si>
  <si>
    <t>Prozent</t>
  </si>
  <si>
    <t>Schwerpunkt</t>
  </si>
  <si>
    <t>Sonstiges</t>
  </si>
  <si>
    <t>Kopernikus Schule</t>
  </si>
  <si>
    <t>Maximale Punktzahl:</t>
  </si>
  <si>
    <t>Von</t>
  </si>
  <si>
    <t>Bis</t>
  </si>
  <si>
    <t>Anwesend</t>
  </si>
  <si>
    <t>Ja</t>
  </si>
  <si>
    <t>Nein</t>
  </si>
  <si>
    <t>Vorname</t>
  </si>
  <si>
    <t>Nachname</t>
  </si>
  <si>
    <t>Anwesend:</t>
  </si>
  <si>
    <t>Abwesend:</t>
  </si>
  <si>
    <t>Notenschnitt:</t>
  </si>
  <si>
    <t>Schwerpunkt:</t>
  </si>
  <si>
    <t>Sonstiges:</t>
  </si>
  <si>
    <t>%</t>
  </si>
  <si>
    <t>Punkte Ø</t>
  </si>
  <si>
    <t>Note Ø</t>
  </si>
  <si>
    <t>Schülerbeobachtung:</t>
  </si>
  <si>
    <t xml:space="preserve">Neue Prüfung anlegen: </t>
  </si>
  <si>
    <t>Neue Klasse anlegen:</t>
  </si>
  <si>
    <t>Leitung:</t>
  </si>
  <si>
    <t>2019-2020</t>
  </si>
  <si>
    <t>2020-2021</t>
  </si>
  <si>
    <t>2021-2022</t>
  </si>
  <si>
    <t>2022-2023</t>
  </si>
  <si>
    <t>2023-2024</t>
  </si>
  <si>
    <t>2024-2025</t>
  </si>
  <si>
    <t>2025-2026</t>
  </si>
  <si>
    <t>2026-2027</t>
  </si>
  <si>
    <t>2027-2028</t>
  </si>
  <si>
    <t>2028-2029</t>
  </si>
  <si>
    <t>2030-2031</t>
  </si>
  <si>
    <t>2029-2030</t>
  </si>
  <si>
    <t>KlassenAktiv</t>
  </si>
  <si>
    <t>RK</t>
  </si>
  <si>
    <t>EV</t>
  </si>
  <si>
    <t>IS</t>
  </si>
  <si>
    <t>OR</t>
  </si>
  <si>
    <t>DIV</t>
  </si>
  <si>
    <t>KFSM</t>
  </si>
  <si>
    <t>3E</t>
  </si>
  <si>
    <t>3F</t>
  </si>
  <si>
    <t>4E</t>
  </si>
  <si>
    <t>4F</t>
  </si>
  <si>
    <t>Sport</t>
  </si>
  <si>
    <t>Ehtik</t>
  </si>
  <si>
    <t>Geburtstag</t>
  </si>
  <si>
    <t>Geb. Datum</t>
  </si>
  <si>
    <t>3D_2021-2022</t>
  </si>
  <si>
    <t>Name</t>
  </si>
  <si>
    <t>Notenübersicht</t>
  </si>
  <si>
    <t>Anw.</t>
  </si>
  <si>
    <t>Fach:</t>
  </si>
  <si>
    <t>Typ:</t>
  </si>
  <si>
    <t>Nicht löschen, für calculation benötigt</t>
  </si>
  <si>
    <t>Jahresübersicht</t>
  </si>
  <si>
    <t>Notendurchschnitt</t>
  </si>
  <si>
    <t>Schüler anlegen</t>
  </si>
  <si>
    <t>Nr.</t>
  </si>
  <si>
    <t>3A_2023-2024</t>
  </si>
  <si>
    <t>Gesamt 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</si>
</sst>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Bahnschrift"/>
      <family val="2"/>
    </font>
    <font>
      <sz val="28"/>
      <color theme="1"/>
      <name val="Bahnschrift"/>
      <family val="2"/>
    </font>
    <font>
      <b/>
      <sz val="12"/>
      <color rgb="FFFF0000"/>
      <name val="Calibri"/>
      <family val="2"/>
    </font>
    <font>
      <sz val="9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16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3" borderId="9" xfId="0" applyFont="1" applyFill="1" applyBorder="1"/>
    <xf numFmtId="0" fontId="0" fillId="0" borderId="6" xfId="0" applyBorder="1"/>
    <xf numFmtId="2" fontId="0" fillId="0" borderId="0" xfId="0" applyNumberFormat="1"/>
    <xf numFmtId="0" fontId="4" fillId="7" borderId="11" xfId="0" applyFont="1" applyFill="1" applyBorder="1"/>
    <xf numFmtId="0" fontId="4" fillId="7" borderId="12" xfId="0" applyFont="1" applyFill="1" applyBorder="1"/>
    <xf numFmtId="0" fontId="0" fillId="3" borderId="4" xfId="0" applyFill="1" applyBorder="1"/>
    <xf numFmtId="0" fontId="0" fillId="3" borderId="3" xfId="0" applyFill="1" applyBorder="1"/>
    <xf numFmtId="0" fontId="0" fillId="3" borderId="1" xfId="0" applyFill="1" applyBorder="1"/>
    <xf numFmtId="0" fontId="1" fillId="0" borderId="0" xfId="0" applyFont="1"/>
    <xf numFmtId="49" fontId="0" fillId="0" borderId="3" xfId="0" applyNumberFormat="1" applyBorder="1"/>
    <xf numFmtId="49" fontId="0" fillId="0" borderId="2" xfId="0" applyNumberFormat="1" applyBorder="1"/>
    <xf numFmtId="49" fontId="0" fillId="0" borderId="1" xfId="0" applyNumberFormat="1" applyBorder="1"/>
    <xf numFmtId="49" fontId="1" fillId="3" borderId="6" xfId="0" applyNumberFormat="1" applyFont="1" applyFill="1" applyBorder="1"/>
    <xf numFmtId="49" fontId="1" fillId="3" borderId="5" xfId="0" applyNumberFormat="1" applyFont="1" applyFill="1" applyBorder="1"/>
    <xf numFmtId="49" fontId="1" fillId="3" borderId="4" xfId="0" applyNumberFormat="1" applyFont="1" applyFill="1" applyBorder="1"/>
    <xf numFmtId="9" fontId="0" fillId="0" borderId="0" xfId="1" applyFont="1" applyBorder="1"/>
    <xf numFmtId="9" fontId="0" fillId="0" borderId="0" xfId="1" applyFont="1"/>
    <xf numFmtId="0" fontId="0" fillId="3" borderId="0" xfId="0" applyFill="1"/>
    <xf numFmtId="0" fontId="9" fillId="0" borderId="0" xfId="2"/>
    <xf numFmtId="0" fontId="4" fillId="0" borderId="0" xfId="0" applyFont="1"/>
    <xf numFmtId="0" fontId="0" fillId="2" borderId="7" xfId="0" applyFill="1" applyBorder="1" applyAlignment="1">
      <alignment horizontal="center"/>
    </xf>
    <xf numFmtId="0" fontId="0" fillId="0" borderId="4" xfId="0" applyBorder="1"/>
    <xf numFmtId="0" fontId="0" fillId="7" borderId="4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1" fontId="0" fillId="14" borderId="15" xfId="0" applyNumberFormat="1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1" fontId="0" fillId="8" borderId="8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2" xfId="0" applyFill="1" applyBorder="1"/>
    <xf numFmtId="0" fontId="0" fillId="9" borderId="11" xfId="0" applyFill="1" applyBorder="1"/>
    <xf numFmtId="0" fontId="1" fillId="9" borderId="10" xfId="0" applyFont="1" applyFill="1" applyBorder="1" applyAlignment="1">
      <alignment horizontal="center"/>
    </xf>
    <xf numFmtId="0" fontId="4" fillId="14" borderId="12" xfId="0" applyFont="1" applyFill="1" applyBorder="1"/>
    <xf numFmtId="0" fontId="4" fillId="14" borderId="11" xfId="0" applyFont="1" applyFill="1" applyBorder="1"/>
    <xf numFmtId="0" fontId="4" fillId="14" borderId="10" xfId="0" applyFont="1" applyFill="1" applyBorder="1"/>
    <xf numFmtId="14" fontId="4" fillId="14" borderId="8" xfId="0" applyNumberFormat="1" applyFont="1" applyFill="1" applyBorder="1"/>
    <xf numFmtId="2" fontId="4" fillId="14" borderId="14" xfId="0" applyNumberFormat="1" applyFont="1" applyFill="1" applyBorder="1"/>
    <xf numFmtId="0" fontId="0" fillId="14" borderId="1" xfId="0" applyFill="1" applyBorder="1"/>
    <xf numFmtId="0" fontId="0" fillId="14" borderId="4" xfId="0" applyFill="1" applyBorder="1"/>
    <xf numFmtId="0" fontId="0" fillId="12" borderId="1" xfId="0" applyFill="1" applyBorder="1"/>
    <xf numFmtId="0" fontId="0" fillId="12" borderId="9" xfId="0" applyFill="1" applyBorder="1"/>
    <xf numFmtId="0" fontId="1" fillId="3" borderId="18" xfId="0" applyFont="1" applyFill="1" applyBorder="1"/>
    <xf numFmtId="164" fontId="1" fillId="3" borderId="18" xfId="0" applyNumberFormat="1" applyFont="1" applyFill="1" applyBorder="1"/>
    <xf numFmtId="0" fontId="1" fillId="3" borderId="22" xfId="0" applyFont="1" applyFill="1" applyBorder="1"/>
    <xf numFmtId="1" fontId="0" fillId="8" borderId="7" xfId="0" applyNumberFormat="1" applyFill="1" applyBorder="1" applyAlignment="1">
      <alignment horizontal="center"/>
    </xf>
    <xf numFmtId="1" fontId="0" fillId="14" borderId="2" xfId="0" applyNumberFormat="1" applyFill="1" applyBorder="1" applyAlignment="1">
      <alignment horizontal="center"/>
    </xf>
    <xf numFmtId="1" fontId="0" fillId="8" borderId="2" xfId="0" applyNumberFormat="1" applyFill="1" applyBorder="1" applyAlignment="1">
      <alignment horizontal="center"/>
    </xf>
    <xf numFmtId="1" fontId="0" fillId="14" borderId="5" xfId="0" applyNumberFormat="1" applyFill="1" applyBorder="1" applyAlignment="1">
      <alignment horizontal="center"/>
    </xf>
    <xf numFmtId="0" fontId="0" fillId="5" borderId="0" xfId="0" applyFill="1"/>
    <xf numFmtId="0" fontId="1" fillId="3" borderId="11" xfId="0" applyFont="1" applyFill="1" applyBorder="1"/>
    <xf numFmtId="0" fontId="1" fillId="3" borderId="10" xfId="0" applyFont="1" applyFill="1" applyBorder="1"/>
    <xf numFmtId="0" fontId="0" fillId="15" borderId="9" xfId="0" applyFill="1" applyBorder="1"/>
    <xf numFmtId="0" fontId="0" fillId="15" borderId="8" xfId="0" applyFill="1" applyBorder="1"/>
    <xf numFmtId="0" fontId="0" fillId="15" borderId="14" xfId="0" applyFill="1" applyBorder="1"/>
    <xf numFmtId="0" fontId="11" fillId="15" borderId="1" xfId="0" applyFont="1" applyFill="1" applyBorder="1"/>
    <xf numFmtId="0" fontId="0" fillId="15" borderId="0" xfId="0" applyFill="1"/>
    <xf numFmtId="0" fontId="0" fillId="15" borderId="3" xfId="0" applyFill="1" applyBorder="1"/>
    <xf numFmtId="0" fontId="0" fillId="15" borderId="1" xfId="0" applyFill="1" applyBorder="1"/>
    <xf numFmtId="0" fontId="0" fillId="15" borderId="4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6" borderId="8" xfId="0" applyFill="1" applyBorder="1"/>
    <xf numFmtId="0" fontId="0" fillId="16" borderId="14" xfId="0" applyFill="1" applyBorder="1"/>
    <xf numFmtId="0" fontId="0" fillId="16" borderId="1" xfId="0" applyFill="1" applyBorder="1"/>
    <xf numFmtId="0" fontId="0" fillId="16" borderId="0" xfId="0" applyFill="1"/>
    <xf numFmtId="0" fontId="0" fillId="16" borderId="3" xfId="0" applyFill="1" applyBorder="1"/>
    <xf numFmtId="0" fontId="0" fillId="16" borderId="4" xfId="0" applyFill="1" applyBorder="1"/>
    <xf numFmtId="0" fontId="0" fillId="16" borderId="15" xfId="0" applyFill="1" applyBorder="1"/>
    <xf numFmtId="0" fontId="0" fillId="16" borderId="6" xfId="0" applyFill="1" applyBorder="1"/>
    <xf numFmtId="0" fontId="12" fillId="16" borderId="9" xfId="0" applyFont="1" applyFill="1" applyBorder="1"/>
    <xf numFmtId="0" fontId="0" fillId="4" borderId="9" xfId="0" applyFill="1" applyBorder="1"/>
    <xf numFmtId="0" fontId="0" fillId="6" borderId="9" xfId="0" applyFill="1" applyBorder="1"/>
    <xf numFmtId="0" fontId="0" fillId="4" borderId="12" xfId="0" applyFill="1" applyBorder="1"/>
    <xf numFmtId="2" fontId="3" fillId="7" borderId="8" xfId="0" applyNumberFormat="1" applyFont="1" applyFill="1" applyBorder="1" applyAlignment="1">
      <alignment horizontal="center"/>
    </xf>
    <xf numFmtId="0" fontId="0" fillId="0" borderId="23" xfId="0" applyBorder="1"/>
    <xf numFmtId="0" fontId="0" fillId="12" borderId="11" xfId="0" applyFill="1" applyBorder="1"/>
    <xf numFmtId="2" fontId="0" fillId="12" borderId="11" xfId="0" applyNumberFormat="1" applyFill="1" applyBorder="1"/>
    <xf numFmtId="0" fontId="0" fillId="12" borderId="10" xfId="0" applyFill="1" applyBorder="1"/>
    <xf numFmtId="0" fontId="0" fillId="12" borderId="24" xfId="0" applyFill="1" applyBorder="1"/>
    <xf numFmtId="0" fontId="0" fillId="3" borderId="6" xfId="0" applyFill="1" applyBorder="1"/>
    <xf numFmtId="0" fontId="8" fillId="0" borderId="0" xfId="0" applyFont="1"/>
    <xf numFmtId="0" fontId="0" fillId="0" borderId="0" xfId="0" quotePrefix="1"/>
    <xf numFmtId="0" fontId="0" fillId="0" borderId="25" xfId="0" applyBorder="1"/>
    <xf numFmtId="0" fontId="0" fillId="19" borderId="26" xfId="0" applyFill="1" applyBorder="1"/>
    <xf numFmtId="0" fontId="0" fillId="0" borderId="27" xfId="0" applyBorder="1"/>
    <xf numFmtId="0" fontId="0" fillId="18" borderId="28" xfId="0" applyFill="1" applyBorder="1"/>
    <xf numFmtId="0" fontId="0" fillId="0" borderId="15" xfId="0" applyBorder="1"/>
    <xf numFmtId="1" fontId="0" fillId="14" borderId="0" xfId="0" applyNumberFormat="1" applyFill="1" applyAlignment="1">
      <alignment horizontal="center"/>
    </xf>
    <xf numFmtId="1" fontId="0" fillId="8" borderId="0" xfId="0" applyNumberFormat="1" applyFill="1" applyAlignment="1">
      <alignment horizontal="center"/>
    </xf>
    <xf numFmtId="0" fontId="0" fillId="0" borderId="3" xfId="0" applyBorder="1"/>
    <xf numFmtId="1" fontId="0" fillId="3" borderId="0" xfId="0" applyNumberFormat="1" applyFill="1"/>
    <xf numFmtId="1" fontId="1" fillId="3" borderId="18" xfId="0" applyNumberFormat="1" applyFont="1" applyFill="1" applyBorder="1"/>
    <xf numFmtId="1" fontId="0" fillId="0" borderId="0" xfId="0" applyNumberFormat="1"/>
    <xf numFmtId="164" fontId="0" fillId="3" borderId="0" xfId="0" applyNumberFormat="1" applyFill="1"/>
    <xf numFmtId="164" fontId="0" fillId="0" borderId="0" xfId="0" applyNumberForma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/>
    <xf numFmtId="0" fontId="0" fillId="0" borderId="20" xfId="0" applyBorder="1"/>
    <xf numFmtId="0" fontId="0" fillId="0" borderId="16" xfId="0" applyBorder="1"/>
    <xf numFmtId="9" fontId="0" fillId="0" borderId="16" xfId="1" applyFont="1" applyFill="1" applyBorder="1"/>
    <xf numFmtId="0" fontId="0" fillId="0" borderId="21" xfId="0" applyBorder="1"/>
    <xf numFmtId="0" fontId="0" fillId="3" borderId="9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9" borderId="3" xfId="0" applyFill="1" applyBorder="1"/>
    <xf numFmtId="0" fontId="0" fillId="17" borderId="14" xfId="0" applyFill="1" applyBorder="1"/>
    <xf numFmtId="0" fontId="0" fillId="17" borderId="27" xfId="0" applyFill="1" applyBorder="1"/>
    <xf numFmtId="0" fontId="0" fillId="17" borderId="29" xfId="0" applyFill="1" applyBorder="1"/>
    <xf numFmtId="0" fontId="0" fillId="17" borderId="28" xfId="0" applyFill="1" applyBorder="1"/>
    <xf numFmtId="0" fontId="0" fillId="11" borderId="13" xfId="0" applyFill="1" applyBorder="1" applyAlignment="1">
      <alignment horizontal="center"/>
    </xf>
    <xf numFmtId="0" fontId="0" fillId="7" borderId="1" xfId="0" applyFill="1" applyBorder="1"/>
    <xf numFmtId="0" fontId="0" fillId="7" borderId="0" xfId="0" applyFill="1"/>
    <xf numFmtId="0" fontId="1" fillId="3" borderId="12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8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10" fillId="8" borderId="9" xfId="0" applyFont="1" applyFill="1" applyBorder="1" applyAlignment="1">
      <alignment horizontal="center"/>
    </xf>
    <xf numFmtId="0" fontId="10" fillId="8" borderId="8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4" fillId="14" borderId="11" xfId="0" applyFont="1" applyFill="1" applyBorder="1" applyAlignment="1">
      <alignment horizontal="left"/>
    </xf>
    <xf numFmtId="0" fontId="0" fillId="12" borderId="8" xfId="0" applyFill="1" applyBorder="1" applyAlignment="1">
      <alignment horizontal="left"/>
    </xf>
    <xf numFmtId="0" fontId="0" fillId="12" borderId="14" xfId="0" applyFill="1" applyBorder="1" applyAlignment="1">
      <alignment horizontal="left"/>
    </xf>
    <xf numFmtId="0" fontId="0" fillId="14" borderId="0" xfId="0" applyFill="1" applyAlignment="1">
      <alignment horizontal="left"/>
    </xf>
    <xf numFmtId="0" fontId="0" fillId="14" borderId="3" xfId="0" applyFill="1" applyBorder="1" applyAlignment="1">
      <alignment horizontal="left"/>
    </xf>
    <xf numFmtId="0" fontId="0" fillId="12" borderId="0" xfId="0" applyFill="1" applyAlignment="1">
      <alignment horizontal="left"/>
    </xf>
    <xf numFmtId="0" fontId="0" fillId="12" borderId="3" xfId="0" applyFill="1" applyBorder="1" applyAlignment="1">
      <alignment horizontal="left"/>
    </xf>
    <xf numFmtId="0" fontId="0" fillId="14" borderId="15" xfId="0" applyFill="1" applyBorder="1" applyAlignment="1">
      <alignment horizontal="left"/>
    </xf>
    <xf numFmtId="0" fontId="0" fillId="14" borderId="6" xfId="0" applyFill="1" applyBorder="1" applyAlignment="1">
      <alignment horizontal="left"/>
    </xf>
    <xf numFmtId="2" fontId="0" fillId="7" borderId="12" xfId="0" applyNumberFormat="1" applyFill="1" applyBorder="1" applyAlignment="1">
      <alignment horizontal="center"/>
    </xf>
    <xf numFmtId="2" fontId="0" fillId="7" borderId="11" xfId="0" applyNumberFormat="1" applyFill="1" applyBorder="1" applyAlignment="1">
      <alignment horizontal="center"/>
    </xf>
    <xf numFmtId="2" fontId="0" fillId="7" borderId="10" xfId="0" applyNumberFormat="1" applyFill="1" applyBorder="1" applyAlignment="1">
      <alignment horizontal="center"/>
    </xf>
    <xf numFmtId="0" fontId="0" fillId="13" borderId="4" xfId="0" applyFill="1" applyBorder="1" applyAlignment="1">
      <alignment horizontal="left"/>
    </xf>
    <xf numFmtId="0" fontId="0" fillId="13" borderId="15" xfId="0" applyFill="1" applyBorder="1" applyAlignment="1">
      <alignment horizontal="left"/>
    </xf>
    <xf numFmtId="0" fontId="0" fillId="13" borderId="6" xfId="0" applyFill="1" applyBorder="1" applyAlignment="1">
      <alignment horizontal="left"/>
    </xf>
    <xf numFmtId="49" fontId="0" fillId="0" borderId="1" xfId="0" applyNumberFormat="1" applyBorder="1" applyAlignment="1">
      <alignment horizontal="left" vertical="top"/>
    </xf>
    <xf numFmtId="49" fontId="0" fillId="0" borderId="3" xfId="0" applyNumberFormat="1" applyBorder="1" applyAlignment="1">
      <alignment horizontal="left" vertical="top"/>
    </xf>
    <xf numFmtId="49" fontId="0" fillId="0" borderId="4" xfId="0" applyNumberFormat="1" applyBorder="1" applyAlignment="1">
      <alignment horizontal="left" vertical="top"/>
    </xf>
    <xf numFmtId="49" fontId="0" fillId="0" borderId="6" xfId="0" applyNumberFormat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0" fillId="0" borderId="15" xfId="0" applyNumberFormat="1" applyBorder="1" applyAlignment="1">
      <alignment horizontal="left" vertical="top"/>
    </xf>
    <xf numFmtId="0" fontId="2" fillId="12" borderId="11" xfId="0" applyFont="1" applyFill="1" applyBorder="1"/>
    <xf numFmtId="0" fontId="0" fillId="9" borderId="9" xfId="0" applyFill="1" applyBorder="1" applyAlignment="1"/>
    <xf numFmtId="0" fontId="0" fillId="9" borderId="7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3" xfId="0" applyNumberFormat="1" applyBorder="1"/>
    <xf numFmtId="0" fontId="0" fillId="0" borderId="6" xfId="0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8" borderId="11" xfId="0" applyNumberFormat="1" applyFill="1" applyBorder="1" applyAlignment="1">
      <alignment horizontal="center"/>
    </xf>
    <xf numFmtId="9" fontId="0" fillId="4" borderId="10" xfId="1" applyFont="1" applyFill="1" applyBorder="1"/>
    <xf numFmtId="9" fontId="0" fillId="4" borderId="10" xfId="0" applyNumberFormat="1" applyFill="1" applyBorder="1"/>
    <xf numFmtId="1" fontId="0" fillId="0" borderId="12" xfId="0" applyNumberFormat="1" applyFill="1" applyBorder="1" applyAlignment="1">
      <alignment horizontal="center"/>
    </xf>
    <xf numFmtId="1" fontId="0" fillId="0" borderId="11" xfId="0" applyNumberFormat="1" applyFill="1" applyBorder="1" applyAlignment="1">
      <alignment horizontal="center"/>
    </xf>
    <xf numFmtId="0" fontId="0" fillId="3" borderId="5" xfId="0" applyFill="1" applyBorder="1" applyAlignment="1">
      <alignment vertical="top" textRotation="255"/>
    </xf>
    <xf numFmtId="0" fontId="0" fillId="7" borderId="5" xfId="0" applyFill="1" applyBorder="1" applyAlignment="1">
      <alignment vertical="top" textRotation="255"/>
    </xf>
    <xf numFmtId="0" fontId="0" fillId="17" borderId="0" xfId="0" applyFill="1" applyAlignment="1">
      <alignment vertical="top" textRotation="255"/>
    </xf>
    <xf numFmtId="0" fontId="0" fillId="0" borderId="0" xfId="0" applyAlignment="1">
      <alignment vertical="top" textRotation="255"/>
    </xf>
    <xf numFmtId="0" fontId="14" fillId="3" borderId="5" xfId="0" applyFont="1" applyFill="1" applyBorder="1" applyAlignment="1">
      <alignment vertical="top" textRotation="255"/>
    </xf>
    <xf numFmtId="0" fontId="0" fillId="0" borderId="0" xfId="0" applyFill="1" applyBorder="1"/>
    <xf numFmtId="0" fontId="0" fillId="0" borderId="0" xfId="0" applyFill="1" applyBorder="1" applyAlignment="1">
      <alignment vertical="top" textRotation="255"/>
    </xf>
    <xf numFmtId="0" fontId="0" fillId="0" borderId="0" xfId="0" applyBorder="1"/>
    <xf numFmtId="2" fontId="0" fillId="0" borderId="0" xfId="0" applyNumberFormat="1" applyBorder="1"/>
    <xf numFmtId="0" fontId="1" fillId="10" borderId="13" xfId="0" applyFont="1" applyFill="1" applyBorder="1" applyAlignment="1"/>
    <xf numFmtId="0" fontId="1" fillId="5" borderId="1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top"/>
    </xf>
    <xf numFmtId="0" fontId="1" fillId="2" borderId="8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horizontal="center" vertical="top"/>
    </xf>
    <xf numFmtId="0" fontId="1" fillId="2" borderId="4" xfId="0" applyFont="1" applyFill="1" applyBorder="1" applyAlignment="1">
      <alignment horizontal="center" vertical="top"/>
    </xf>
    <xf numFmtId="0" fontId="1" fillId="2" borderId="15" xfId="0" applyFont="1" applyFill="1" applyBorder="1" applyAlignment="1">
      <alignment horizontal="center" vertical="top"/>
    </xf>
    <xf numFmtId="0" fontId="1" fillId="2" borderId="6" xfId="0" applyFont="1" applyFill="1" applyBorder="1" applyAlignment="1">
      <alignment horizontal="center" vertical="top"/>
    </xf>
    <xf numFmtId="0" fontId="1" fillId="3" borderId="24" xfId="0" applyFont="1" applyFill="1" applyBorder="1" applyAlignment="1">
      <alignment vertical="top"/>
    </xf>
    <xf numFmtId="0" fontId="1" fillId="3" borderId="30" xfId="0" applyFont="1" applyFill="1" applyBorder="1" applyAlignment="1">
      <alignment vertical="top"/>
    </xf>
    <xf numFmtId="0" fontId="0" fillId="4" borderId="16" xfId="0" applyFill="1" applyBorder="1"/>
    <xf numFmtId="0" fontId="0" fillId="3" borderId="16" xfId="0" applyFill="1" applyBorder="1"/>
    <xf numFmtId="0" fontId="0" fillId="6" borderId="21" xfId="0" applyFill="1" applyBorder="1"/>
    <xf numFmtId="0" fontId="0" fillId="4" borderId="21" xfId="0" applyFill="1" applyBorder="1"/>
    <xf numFmtId="0" fontId="0" fillId="4" borderId="18" xfId="0" applyFill="1" applyBorder="1"/>
    <xf numFmtId="0" fontId="0" fillId="6" borderId="19" xfId="0" applyFill="1" applyBorder="1"/>
    <xf numFmtId="0" fontId="0" fillId="0" borderId="31" xfId="0" applyBorder="1"/>
    <xf numFmtId="2" fontId="3" fillId="7" borderId="10" xfId="0" applyNumberFormat="1" applyFont="1" applyFill="1" applyBorder="1" applyAlignment="1">
      <alignment horizontal="center"/>
    </xf>
    <xf numFmtId="0" fontId="14" fillId="7" borderId="13" xfId="0" applyFont="1" applyFill="1" applyBorder="1" applyAlignment="1">
      <alignment vertical="top" textRotation="255"/>
    </xf>
    <xf numFmtId="0" fontId="0" fillId="7" borderId="32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0" xfId="0" applyFill="1" applyBorder="1"/>
    <xf numFmtId="0" fontId="2" fillId="7" borderId="32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1" fillId="3" borderId="16" xfId="0" applyFont="1" applyFill="1" applyBorder="1" applyAlignment="1">
      <alignment vertical="center"/>
    </xf>
  </cellXfs>
  <cellStyles count="3">
    <cellStyle name="Hyperlink" xfId="2" builtinId="8"/>
    <cellStyle name="Normal" xfId="0" builtinId="0"/>
    <cellStyle name="Percent" xfId="1" builtinId="5"/>
  </cellStyles>
  <dxfs count="58">
    <dxf>
      <border>
        <bottom style="medium">
          <color rgb="FF000000"/>
        </bottom>
      </border>
    </dxf>
    <dxf>
      <fill>
        <patternFill>
          <fgColor indexed="64"/>
          <bgColor theme="2"/>
        </patternFill>
      </fill>
      <border diagonalUp="0" diagonalDown="0">
        <left/>
        <right/>
        <top/>
        <bottom/>
        <vertical/>
      </border>
    </dxf>
    <dxf>
      <border>
        <bottom style="medium">
          <color indexed="64"/>
        </bottom>
      </border>
    </dxf>
    <dxf>
      <fill>
        <patternFill>
          <fgColor indexed="64"/>
          <bgColor theme="2"/>
        </patternFill>
      </fill>
      <border diagonalUp="0" diagonalDown="0">
        <left/>
        <right/>
        <top/>
        <bottom/>
        <vertic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/>
        <top/>
        <bottom/>
      </border>
    </dxf>
    <dxf>
      <numFmt numFmtId="30" formatCode="@"/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numFmt numFmtId="30" formatCode="@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2" tint="-9.9978637043366805E-2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/>
        <right style="medium">
          <color indexed="64"/>
        </right>
        <top/>
        <bottom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outline="0">
        <top style="thin">
          <color indexed="64"/>
        </top>
      </border>
    </dxf>
    <dxf>
      <fill>
        <patternFill patternType="solid">
          <fgColor indexed="64"/>
          <bgColor theme="2" tint="-0.249977111117893"/>
        </patternFill>
      </fill>
    </dxf>
    <dxf>
      <numFmt numFmtId="164" formatCode="0.0"/>
    </dxf>
    <dxf>
      <numFmt numFmtId="1" formatCode="0"/>
    </dxf>
    <dxf>
      <border outline="0">
        <top style="medium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auto="1"/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 patternType="solid">
          <fgColor theme="4" tint="0.79995117038483843"/>
        </patternFill>
      </fill>
      <border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Table Style 1" pivot="0" count="1" xr9:uid="{68B996E3-3697-4474-A5B7-93A126BB661B}">
      <tableStyleElement type="secondColumnStripe" size="2"/>
    </tableStyle>
    <tableStyle name="Table Style 2" pivot="0" count="3" xr9:uid="{FF639372-244F-4267-B0FE-BEC66BF79A96}">
      <tableStyleElement type="wholeTable" dxfId="57"/>
      <tableStyleElement type="headerRow" dxfId="56"/>
      <tableStyleElement type="firstColumnStripe" dxfId="55"/>
    </tableStyle>
  </tableStyles>
  <colors>
    <mruColors>
      <color rgb="FF69F7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Notenspiegel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9.5109794444011339E-2"/>
          <c:y val="0.173156146179402"/>
          <c:w val="0.90132896754242353"/>
          <c:h val="0.639010821321753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PrüfungÜbersichtVorlage!$N$2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PrüfungÜbersichtVorlage!$N$3:$N$8</c:f>
              <c:numCache>
                <c:formatCode>General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PrüfungÜbersichtVorlage!$M$3:$M$8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AA83-45FA-8794-1536A6941F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404130575"/>
        <c:axId val="1296498287"/>
      </c:barChart>
      <c:catAx>
        <c:axId val="140413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Note</a:t>
                </a:r>
              </a:p>
            </c:rich>
          </c:tx>
          <c:layout>
            <c:manualLayout>
              <c:xMode val="edge"/>
              <c:yMode val="edge"/>
              <c:x val="0.42716535433070862"/>
              <c:y val="0.883310002916302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296498287"/>
        <c:crosses val="autoZero"/>
        <c:auto val="1"/>
        <c:lblAlgn val="ctr"/>
        <c:lblOffset val="100"/>
        <c:noMultiLvlLbl val="0"/>
      </c:catAx>
      <c:valAx>
        <c:axId val="1296498287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Anzahl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crossAx val="140413057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5</xdr:row>
          <xdr:rowOff>76200</xdr:rowOff>
        </xdr:from>
        <xdr:to>
          <xdr:col>6</xdr:col>
          <xdr:colOff>123825</xdr:colOff>
          <xdr:row>9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Neue Klasse erstellen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5</xdr:row>
          <xdr:rowOff>133350</xdr:rowOff>
        </xdr:from>
        <xdr:to>
          <xdr:col>6</xdr:col>
          <xdr:colOff>419100</xdr:colOff>
          <xdr:row>9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Neue Prüfung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9525</xdr:rowOff>
        </xdr:from>
        <xdr:to>
          <xdr:col>6</xdr:col>
          <xdr:colOff>704850</xdr:colOff>
          <xdr:row>4</xdr:row>
          <xdr:rowOff>171450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E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9</xdr:row>
          <xdr:rowOff>9525</xdr:rowOff>
        </xdr:from>
        <xdr:to>
          <xdr:col>10</xdr:col>
          <xdr:colOff>342900</xdr:colOff>
          <xdr:row>10</xdr:row>
          <xdr:rowOff>19050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E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NOTEN ÜBERTRAGEN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57149</xdr:colOff>
      <xdr:row>10</xdr:row>
      <xdr:rowOff>142875</xdr:rowOff>
    </xdr:from>
    <xdr:ext cx="1628775" cy="198682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D8635A5-0D82-02F9-516F-CFEAF1BC81B1}"/>
            </a:ext>
          </a:extLst>
        </xdr:cNvPr>
        <xdr:cNvSpPr txBox="1"/>
      </xdr:nvSpPr>
      <xdr:spPr>
        <a:xfrm>
          <a:off x="4772024" y="2133600"/>
          <a:ext cx="1628775" cy="198682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Zum aktualisieren der teilnehmenden</a:t>
          </a:r>
          <a:r>
            <a:rPr lang="en-US" sz="1100" baseline="0"/>
            <a:t> SuS bitte auf "Aktualisieren" klicken.</a:t>
          </a:r>
        </a:p>
        <a:p>
          <a:r>
            <a:rPr lang="en-US" sz="1100" baseline="0"/>
            <a:t>Wenn Sie mit der Benotung fertig sind, können Sie einmalig auf "Noten übertragen" klicken.</a:t>
          </a:r>
        </a:p>
        <a:p>
          <a:r>
            <a:rPr lang="en-US" sz="1100" baseline="0"/>
            <a:t>Stand heute ist dies nicht Rückgängig zu machen!</a:t>
          </a:r>
        </a:p>
      </xdr:txBody>
    </xdr:sp>
    <xdr:clientData fPrintsWithSheet="0"/>
  </xdr:oneCellAnchor>
  <xdr:oneCellAnchor>
    <xdr:from>
      <xdr:col>7</xdr:col>
      <xdr:colOff>85725</xdr:colOff>
      <xdr:row>21</xdr:row>
      <xdr:rowOff>76200</xdr:rowOff>
    </xdr:from>
    <xdr:ext cx="1619250" cy="6191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4589407-6D1B-0653-C283-90EE3B3A836A}"/>
            </a:ext>
          </a:extLst>
        </xdr:cNvPr>
        <xdr:cNvSpPr txBox="1"/>
      </xdr:nvSpPr>
      <xdr:spPr>
        <a:xfrm>
          <a:off x="4800600" y="4162425"/>
          <a:ext cx="1619250" cy="6191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Die</a:t>
          </a:r>
          <a:r>
            <a:rPr lang="en-US" sz="1100" baseline="0"/>
            <a:t> Prozente können Sie frei einstellen per Dropdown Auswahl!</a:t>
          </a:r>
          <a:endParaRPr lang="en-DE" sz="1100"/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171451</xdr:rowOff>
    </xdr:from>
    <xdr:to>
      <xdr:col>2</xdr:col>
      <xdr:colOff>742949</xdr:colOff>
      <xdr:row>14</xdr:row>
      <xdr:rowOff>161925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805144</xdr:colOff>
      <xdr:row>15</xdr:row>
      <xdr:rowOff>31934</xdr:rowOff>
    </xdr:from>
    <xdr:to>
      <xdr:col>5</xdr:col>
      <xdr:colOff>642097</xdr:colOff>
      <xdr:row>19</xdr:row>
      <xdr:rowOff>39968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2698938" y="3035110"/>
          <a:ext cx="2066924" cy="78124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Bitte in Übersicht "Aktualisieren" drücken</a:t>
          </a:r>
          <a:r>
            <a:rPr lang="en-US" sz="1100" baseline="0"/>
            <a:t> für de Übernahme der fehlenden SuS</a:t>
          </a:r>
        </a:p>
        <a:p>
          <a:endParaRPr lang="en-DE" sz="1100"/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47626</xdr:colOff>
          <xdr:row>1</xdr:row>
          <xdr:rowOff>47625</xdr:rowOff>
        </xdr:from>
        <xdr:to>
          <xdr:col>5</xdr:col>
          <xdr:colOff>1247776</xdr:colOff>
          <xdr:row>3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1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Anlegen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38</xdr:row>
      <xdr:rowOff>9526</xdr:rowOff>
    </xdr:from>
    <xdr:to>
      <xdr:col>13</xdr:col>
      <xdr:colOff>209550</xdr:colOff>
      <xdr:row>42</xdr:row>
      <xdr:rowOff>104776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19050" y="9229726"/>
          <a:ext cx="6286500" cy="8572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95250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2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Note eintragen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123825</xdr:colOff>
      <xdr:row>3</xdr:row>
      <xdr:rowOff>9525</xdr:rowOff>
    </xdr:from>
    <xdr:to>
      <xdr:col>13</xdr:col>
      <xdr:colOff>200024</xdr:colOff>
      <xdr:row>5</xdr:row>
      <xdr:rowOff>133350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DBE8FD2-0E99-661E-65CC-7F5743B900DA}"/>
            </a:ext>
          </a:extLst>
        </xdr:cNvPr>
        <xdr:cNvSpPr txBox="1"/>
      </xdr:nvSpPr>
      <xdr:spPr>
        <a:xfrm>
          <a:off x="2447925" y="600075"/>
          <a:ext cx="3848099" cy="5238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Bei Bedarf weiterer Fächer</a:t>
          </a:r>
          <a:r>
            <a:rPr lang="en-US" sz="1100" baseline="0"/>
            <a:t> sind die gelb hinterlegten Felder dropdownlisten.</a:t>
          </a:r>
          <a:endParaRPr lang="en-DE" sz="1100"/>
        </a:p>
      </xdr:txBody>
    </xdr:sp>
    <xdr:clientData fPrintsWithSheet="0"/>
  </xdr:twoCellAnchor>
  <xdr:twoCellAnchor editAs="absolute">
    <xdr:from>
      <xdr:col>9</xdr:col>
      <xdr:colOff>0</xdr:colOff>
      <xdr:row>0</xdr:row>
      <xdr:rowOff>66675</xdr:rowOff>
    </xdr:from>
    <xdr:to>
      <xdr:col>13</xdr:col>
      <xdr:colOff>219075</xdr:colOff>
      <xdr:row>2</xdr:row>
      <xdr:rowOff>142875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380E92B-C86C-D486-FD47-BD2FCB5DE8B9}"/>
            </a:ext>
          </a:extLst>
        </xdr:cNvPr>
        <xdr:cNvSpPr txBox="1"/>
      </xdr:nvSpPr>
      <xdr:spPr>
        <a:xfrm>
          <a:off x="4419600" y="66675"/>
          <a:ext cx="1895475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Zur Eintragung einzelner Noten</a:t>
          </a:r>
          <a:endParaRPr lang="en-DE" sz="1100"/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38100</xdr:rowOff>
        </xdr:from>
        <xdr:to>
          <xdr:col>6</xdr:col>
          <xdr:colOff>285750</xdr:colOff>
          <xdr:row>2</xdr:row>
          <xdr:rowOff>104775</xdr:rowOff>
        </xdr:to>
        <xdr:sp macro="" textlink="">
          <xdr:nvSpPr>
            <xdr:cNvPr id="226307" name="btnupdate" hidden="1">
              <a:extLst>
                <a:ext uri="{63B3BB69-23CF-44E3-9099-C40C66FF867C}">
                  <a14:compatExt spid="_x0000_s226307"/>
                </a:ext>
                <a:ext uri="{FF2B5EF4-FFF2-40B4-BE49-F238E27FC236}">
                  <a16:creationId xmlns:a16="http://schemas.microsoft.com/office/drawing/2014/main" id="{00000000-0008-0000-0A00-0000037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Notendurchschnitt 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E208E6-D17A-4EFD-BE9D-087E4BD939BE}" name="PrüfungÜbersicht" displayName="PrüfungÜbersicht" ref="A10:G11" insertRow="1" totalsRowShown="0" headerRowDxfId="54" dataDxfId="52" headerRowBorderDxfId="53" tableBorderDxfId="51" totalsRowBorderDxfId="50">
  <autoFilter ref="A10:G11" xr:uid="{3CE208E6-D17A-4EFD-BE9D-087E4BD939B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25767A9-BB59-44B7-8D69-811559DDC430}" name="Anw." dataDxfId="49"/>
    <tableColumn id="2" xr3:uid="{CAEC63F2-0FEE-4DB9-9758-143A28B02249}" name="Nachname" dataDxfId="48">
      <calculatedColumnFormula>KlassenbogenVorlage!A4</calculatedColumnFormula>
    </tableColumn>
    <tableColumn id="3" xr3:uid="{CFB28906-8579-4657-BC71-428F00A7C133}" name="Vorname" dataDxfId="47">
      <calculatedColumnFormula>KlassenbogenVorlage!B4</calculatedColumnFormula>
    </tableColumn>
    <tableColumn id="4" xr3:uid="{C7C246D7-50A7-453E-BC8A-E4E211E794B4}" name="Note" dataDxfId="46">
      <calculatedColumnFormula>GetGrade(E11)</calculatedColumnFormula>
    </tableColumn>
    <tableColumn id="5" xr3:uid="{AC2EDC0A-55F5-48E0-A70D-CBB761E7042C}" name="Punkte" dataDxfId="45"/>
    <tableColumn id="6" xr3:uid="{6F58CA34-4BF0-4992-A41F-28BC31436406}" name="Prozent" dataDxfId="44" dataCellStyle="Percent">
      <calculatedColumnFormula>E11/$K$2</calculatedColumnFormula>
    </tableColumn>
    <tableColumn id="7" xr3:uid="{CDD2D785-3AD5-42A3-82AC-90A3E3163DFC}" name="Bemerkung" dataDxfId="4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D5CBA16-32E6-4066-AE56-DD8C4D8B72E2}" name="Table9" displayName="Table9" ref="A4:E5" totalsRowShown="0" headerRowDxfId="42" headerRowBorderDxfId="41" tableBorderDxfId="40">
  <autoFilter ref="A4:E5" xr:uid="{9D5CBA16-32E6-4066-AE56-DD8C4D8B72E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E951294-C863-42D2-8228-2680FB68BF8F}" name="Nachname"/>
    <tableColumn id="2" xr3:uid="{B2733091-FCBE-40CE-AFB6-3DD5EC547A07}" name="Vorname"/>
    <tableColumn id="3" xr3:uid="{FBC7475D-201F-41CE-AB39-CDBDA08A2B4D}" name="Note" dataDxfId="39"/>
    <tableColumn id="4" xr3:uid="{641A2DD0-CA13-40C3-A82A-3F410CD8959A}" name="Punkte" dataDxfId="38"/>
    <tableColumn id="5" xr3:uid="{442BC999-1388-4DD0-803E-136DECADFADD}" name="Bemerkung"/>
  </tableColumns>
  <tableStyleInfo name="Table Style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9846F3AE-ED8B-4E88-8133-742B13F4D286}" name="Table67" displayName="Table67" ref="A18:B19" insertRow="1" totalsRowShown="0" headerRowDxfId="37" tableBorderDxfId="36">
  <autoFilter ref="A18:B19" xr:uid="{9846F3AE-ED8B-4E88-8133-742B13F4D286}">
    <filterColumn colId="0" hiddenButton="1"/>
    <filterColumn colId="1" hiddenButton="1"/>
  </autoFilter>
  <tableColumns count="2">
    <tableColumn id="1" xr3:uid="{A5B14D22-54F2-44C6-B3D2-164D64C1CBF0}" name="Name"/>
    <tableColumn id="2" xr3:uid="{95A20A11-7310-4359-95D5-1960B2D548C5}" name="Vorname"/>
  </tableColumns>
  <tableStyleInfo name="Table Style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CC7F1D-9B0B-4C8B-ACE9-671A6C498A04}" name="Klassenbogen" displayName="Klassenbogen" ref="A3:E4" insertRow="1" totalsRowShown="0" headerRowDxfId="35" headerRowBorderDxfId="34" tableBorderDxfId="33">
  <autoFilter ref="A3:E4" xr:uid="{FD435649-661D-46C5-8B4E-1994E34951E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5F09104-5C22-4A19-80C9-52915B789B84}" name="Nachname" dataDxfId="32" totalsRowDxfId="31"/>
    <tableColumn id="2" xr3:uid="{25254EE9-92D0-4079-A35C-02DAFE5FD464}" name="Vorname" dataDxfId="30" totalsRowDxfId="29">
      <calculatedColumnFormula>COUNTA(Klassenbogen[Nachname])</calculatedColumnFormula>
    </tableColumn>
    <tableColumn id="3" xr3:uid="{D94C455B-71D4-4311-B09D-5E062A68F5BE}" name="Geschlecht" dataDxfId="28" totalsRowDxfId="27"/>
    <tableColumn id="4" xr3:uid="{2F0DA1A4-7504-4F30-9085-6A145E92E250}" name="Religion" dataDxfId="26" totalsRowDxfId="25"/>
    <tableColumn id="5" xr3:uid="{55FA42D2-E36C-446C-BC6C-098E991A0C9C}" name="Geburtstag" dataDxfId="24" totalsRowDxfId="23"/>
  </tableColumns>
  <tableStyleInfo name="Table Style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BBFC238-BD82-4583-9BF9-8434D7C231FA}" name="NotenSchülerEinzel" displayName="NotenSchülerEinzel" ref="D7:D37" totalsRowShown="0" headerRowDxfId="3" headerRowBorderDxfId="2">
  <autoFilter ref="D7:D37" xr:uid="{5BBFC238-BD82-4583-9BF9-8434D7C231FA}">
    <filterColumn colId="0" hiddenButton="1"/>
  </autoFilter>
  <tableColumns count="1">
    <tableColumn id="1" xr3:uid="{AD886ADA-9920-431D-8920-0ECF96349BB3}" name="Note"/>
  </tableColumns>
  <tableStyleInfo name="Table Style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E38F34-C066-4624-9325-81B7AE45DEAB}" name="NotenSchülerEinzel7" displayName="NotenSchülerEinzel7" ref="D4:D34" totalsRowShown="0" headerRowDxfId="1" headerRowBorderDxfId="0">
  <autoFilter ref="D4:D34" xr:uid="{5BBFC238-BD82-4583-9BF9-8434D7C231FA}">
    <filterColumn colId="0" hiddenButton="1"/>
  </autoFilter>
  <tableColumns count="1">
    <tableColumn id="1" xr3:uid="{23584C0A-7D7B-48C5-9935-17B4D932CB3C}" name="Nr."/>
  </tableColumns>
  <tableStyleInfo name="Table Style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B9F914-B581-4DD1-9302-13841FB775D7}" name="Datenbank" displayName="Datenbank" ref="A1:F13" headerRowDxfId="22" dataDxfId="20" headerRowBorderDxfId="21" tableBorderDxfId="19">
  <autoFilter ref="A1:F13" xr:uid="{6FB9F914-B581-4DD1-9302-13841FB775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F6204EB-EC7B-47D0-BA02-350C02F87837}" name="Fach" totalsRowLabel="Total" dataDxfId="18" totalsRowDxfId="17"/>
    <tableColumn id="2" xr3:uid="{AD068FFC-1B7E-4BB2-B235-3A903D193B08}" name="Typ" dataDxfId="16" totalsRowDxfId="15"/>
    <tableColumn id="3" xr3:uid="{716BDB56-9F49-49C8-8C08-0F34B5F5B932}" name="Klasse" dataDxfId="14" totalsRowDxfId="13"/>
    <tableColumn id="4" xr3:uid="{5BCDACE6-AB88-4BE6-8F68-82D6F528EFB1}" name="Religion" dataDxfId="12" totalsRowDxfId="11"/>
    <tableColumn id="5" xr3:uid="{3D14F14A-860A-44F4-965B-8BD8A5369E8E}" name="Geschlecht" dataDxfId="10" totalsRowDxfId="9"/>
    <tableColumn id="6" xr3:uid="{D356EF5E-2737-4DA2-A1E7-EC4CDF88B3F8}" name="Schuljahr" totalsRowFunction="count" dataDxfId="8" totalsRowDxfId="7"/>
  </tableColumns>
  <tableStyleInfo name="TableStyleLight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2611F1-6744-4999-9833-268C3FA5435B}" name="Table3" displayName="Table3" ref="H1:H101" totalsRowShown="0" tableBorderDxfId="6" headerRowCellStyle="Percent" dataCellStyle="Percent">
  <autoFilter ref="H1:H101" xr:uid="{752611F1-6744-4999-9833-268C3FA5435B}">
    <filterColumn colId="0" hiddenButton="1"/>
  </autoFilter>
  <tableColumns count="1">
    <tableColumn id="1" xr3:uid="{00906B68-FE90-407D-9411-7CD003101DB3}" name="Prozente" dataCellStyle="Percent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0264774-EFA8-46DA-BD02-C310594A88E8}" name="Table5" displayName="Table5" ref="J1:J3" totalsRowShown="0" tableBorderDxfId="5">
  <autoFilter ref="J1:J3" xr:uid="{A0264774-EFA8-46DA-BD02-C310594A88E8}">
    <filterColumn colId="0" hiddenButton="1"/>
  </autoFilter>
  <tableColumns count="1">
    <tableColumn id="1" xr3:uid="{EE59B7E7-2C4B-47A6-9CBC-2BB71B7AB7DC}" name="Anwesend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33DEC1C4-2A52-4E26-981A-0F2D7F9A8EE7}" name="KlassenAktiv" displayName="KlassenAktiv" ref="L1:L3" totalsRowShown="0" tableBorderDxfId="4">
  <autoFilter ref="L1:L3" xr:uid="{33DEC1C4-2A52-4E26-981A-0F2D7F9A8EE7}">
    <filterColumn colId="0" hiddenButton="1"/>
  </autoFilter>
  <tableColumns count="1">
    <tableColumn id="1" xr3:uid="{C264BB46-DD91-4760-8DAD-2809F68D053C}" name="KlassenAktiv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8F24A-5560-4841-946A-A8C51FA7D3E2}">
  <sheetPr codeName="Sheet14">
    <tabColor rgb="FF00B050"/>
  </sheetPr>
  <dimension ref="C2:H14"/>
  <sheetViews>
    <sheetView showGridLines="0" workbookViewId="0">
      <selection activeCell="L24" sqref="L24"/>
    </sheetView>
  </sheetViews>
  <sheetFormatPr defaultRowHeight="15" x14ac:dyDescent="0.25"/>
  <sheetData>
    <row r="2" spans="3:8" ht="15.75" thickBot="1" x14ac:dyDescent="0.3"/>
    <row r="3" spans="3:8" x14ac:dyDescent="0.25">
      <c r="C3" s="59"/>
      <c r="D3" s="60"/>
      <c r="E3" s="60"/>
      <c r="F3" s="60"/>
      <c r="G3" s="60"/>
      <c r="H3" s="61"/>
    </row>
    <row r="4" spans="3:8" ht="34.5" x14ac:dyDescent="0.45">
      <c r="C4" s="62" t="s">
        <v>64</v>
      </c>
      <c r="D4" s="63"/>
      <c r="E4" s="63"/>
      <c r="F4" s="63"/>
      <c r="G4" s="63"/>
      <c r="H4" s="64"/>
    </row>
    <row r="5" spans="3:8" x14ac:dyDescent="0.25">
      <c r="C5" s="65"/>
      <c r="D5" s="63"/>
      <c r="E5" s="63"/>
      <c r="F5" s="63"/>
      <c r="G5" s="63"/>
      <c r="H5" s="64"/>
    </row>
    <row r="6" spans="3:8" x14ac:dyDescent="0.25">
      <c r="C6" s="65"/>
      <c r="D6" s="63"/>
      <c r="E6" s="63"/>
      <c r="F6" s="63"/>
      <c r="G6" s="63"/>
      <c r="H6" s="64"/>
    </row>
    <row r="7" spans="3:8" x14ac:dyDescent="0.25">
      <c r="C7" s="65"/>
      <c r="D7" s="63"/>
      <c r="E7" s="63"/>
      <c r="F7" s="63"/>
      <c r="G7" s="63"/>
      <c r="H7" s="64"/>
    </row>
    <row r="8" spans="3:8" x14ac:dyDescent="0.25">
      <c r="C8" s="65"/>
      <c r="D8" s="63"/>
      <c r="E8" s="63"/>
      <c r="F8" s="63"/>
      <c r="G8" s="63"/>
      <c r="H8" s="64"/>
    </row>
    <row r="9" spans="3:8" x14ac:dyDescent="0.25">
      <c r="C9" s="65"/>
      <c r="D9" s="63"/>
      <c r="E9" s="63"/>
      <c r="F9" s="63"/>
      <c r="G9" s="63"/>
      <c r="H9" s="64"/>
    </row>
    <row r="10" spans="3:8" x14ac:dyDescent="0.25">
      <c r="C10" s="65"/>
      <c r="D10" s="63"/>
      <c r="E10" s="63"/>
      <c r="F10" s="63"/>
      <c r="G10" s="63"/>
      <c r="H10" s="64"/>
    </row>
    <row r="11" spans="3:8" x14ac:dyDescent="0.25">
      <c r="C11" s="65"/>
      <c r="D11" s="63"/>
      <c r="E11" s="63"/>
      <c r="F11" s="63"/>
      <c r="G11" s="63"/>
      <c r="H11" s="64"/>
    </row>
    <row r="12" spans="3:8" x14ac:dyDescent="0.25">
      <c r="C12" s="65"/>
      <c r="D12" s="63"/>
      <c r="E12" s="63"/>
      <c r="F12" s="63"/>
      <c r="G12" s="63"/>
      <c r="H12" s="64"/>
    </row>
    <row r="13" spans="3:8" x14ac:dyDescent="0.25">
      <c r="C13" s="65"/>
      <c r="D13" s="63"/>
      <c r="E13" s="63"/>
      <c r="F13" s="63"/>
      <c r="G13" s="63"/>
      <c r="H13" s="64"/>
    </row>
    <row r="14" spans="3:8" ht="15.75" thickBot="1" x14ac:dyDescent="0.3">
      <c r="C14" s="66"/>
      <c r="D14" s="67"/>
      <c r="E14" s="67"/>
      <c r="F14" s="67"/>
      <c r="G14" s="67"/>
      <c r="H14" s="68"/>
    </row>
  </sheetData>
  <pageMargins left="0.70866141732283472" right="0.31496062992125984" top="0.31496062992125984" bottom="0.31496062992125984" header="0" footer="0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NeueKlasseAnlegen_Click">
                <anchor moveWithCells="1" sizeWithCells="1">
                  <from>
                    <xdr:col>3</xdr:col>
                    <xdr:colOff>409575</xdr:colOff>
                    <xdr:row>5</xdr:row>
                    <xdr:rowOff>76200</xdr:rowOff>
                  </from>
                  <to>
                    <xdr:col>6</xdr:col>
                    <xdr:colOff>123825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483C8-359D-4058-8EDC-33E55E5B68E4}">
  <sheetPr codeName="Sheet13">
    <tabColor theme="5" tint="-0.249977111117893"/>
  </sheetPr>
  <dimension ref="C2:H14"/>
  <sheetViews>
    <sheetView showGridLines="0" tabSelected="1" zoomScaleNormal="100" workbookViewId="0">
      <selection activeCell="L24" sqref="L24"/>
    </sheetView>
  </sheetViews>
  <sheetFormatPr defaultRowHeight="15" x14ac:dyDescent="0.25"/>
  <cols>
    <col min="8" max="8" width="11.42578125" customWidth="1"/>
  </cols>
  <sheetData>
    <row r="2" spans="3:8" ht="15.75" thickBot="1" x14ac:dyDescent="0.3"/>
    <row r="3" spans="3:8" ht="34.5" x14ac:dyDescent="0.45">
      <c r="C3" s="77" t="s">
        <v>63</v>
      </c>
      <c r="D3" s="69"/>
      <c r="E3" s="69"/>
      <c r="F3" s="69"/>
      <c r="G3" s="69"/>
      <c r="H3" s="70"/>
    </row>
    <row r="4" spans="3:8" x14ac:dyDescent="0.25">
      <c r="C4" s="71"/>
      <c r="D4" s="72"/>
      <c r="E4" s="72"/>
      <c r="F4" s="72"/>
      <c r="G4" s="72"/>
      <c r="H4" s="73"/>
    </row>
    <row r="5" spans="3:8" x14ac:dyDescent="0.25">
      <c r="C5" s="71"/>
      <c r="D5" s="72"/>
      <c r="E5" s="72"/>
      <c r="F5" s="72"/>
      <c r="G5" s="72"/>
      <c r="H5" s="73"/>
    </row>
    <row r="6" spans="3:8" x14ac:dyDescent="0.25">
      <c r="C6" s="71"/>
      <c r="D6" s="72"/>
      <c r="E6" s="72"/>
      <c r="F6" s="72"/>
      <c r="G6" s="72"/>
      <c r="H6" s="73"/>
    </row>
    <row r="7" spans="3:8" x14ac:dyDescent="0.25">
      <c r="C7" s="71"/>
      <c r="D7" s="72"/>
      <c r="E7" s="72"/>
      <c r="F7" s="72"/>
      <c r="G7" s="72"/>
      <c r="H7" s="73"/>
    </row>
    <row r="8" spans="3:8" x14ac:dyDescent="0.25">
      <c r="C8" s="71"/>
      <c r="D8" s="72"/>
      <c r="E8" s="72"/>
      <c r="F8" s="72"/>
      <c r="G8" s="72"/>
      <c r="H8" s="73"/>
    </row>
    <row r="9" spans="3:8" x14ac:dyDescent="0.25">
      <c r="C9" s="71"/>
      <c r="D9" s="72"/>
      <c r="E9" s="72"/>
      <c r="F9" s="72"/>
      <c r="G9" s="72"/>
      <c r="H9" s="73"/>
    </row>
    <row r="10" spans="3:8" x14ac:dyDescent="0.25">
      <c r="C10" s="71"/>
      <c r="D10" s="72"/>
      <c r="E10" s="72"/>
      <c r="F10" s="72"/>
      <c r="G10" s="72"/>
      <c r="H10" s="73"/>
    </row>
    <row r="11" spans="3:8" x14ac:dyDescent="0.25">
      <c r="C11" s="71"/>
      <c r="D11" s="72"/>
      <c r="E11" s="72"/>
      <c r="F11" s="72"/>
      <c r="G11" s="72"/>
      <c r="H11" s="73"/>
    </row>
    <row r="12" spans="3:8" x14ac:dyDescent="0.25">
      <c r="C12" s="71"/>
      <c r="D12" s="72"/>
      <c r="E12" s="72"/>
      <c r="F12" s="72"/>
      <c r="G12" s="72"/>
      <c r="H12" s="73"/>
    </row>
    <row r="13" spans="3:8" x14ac:dyDescent="0.25">
      <c r="C13" s="71"/>
      <c r="D13" s="72"/>
      <c r="E13" s="72"/>
      <c r="F13" s="72"/>
      <c r="G13" s="72"/>
      <c r="H13" s="73"/>
    </row>
    <row r="14" spans="3:8" ht="15.75" thickBot="1" x14ac:dyDescent="0.3">
      <c r="C14" s="74"/>
      <c r="D14" s="75"/>
      <c r="E14" s="75"/>
      <c r="F14" s="75"/>
      <c r="G14" s="75"/>
      <c r="H14" s="76"/>
    </row>
  </sheetData>
  <pageMargins left="0.70866141732283472" right="0.31496062992125984" top="0.31496062992125984" bottom="0.31496062992125984" header="0" footer="0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NeuePrüfungAnlegen_Click">
                <anchor moveWithCells="1" sizeWithCells="1">
                  <from>
                    <xdr:col>3</xdr:col>
                    <xdr:colOff>200025</xdr:colOff>
                    <xdr:row>5</xdr:row>
                    <xdr:rowOff>133350</xdr:rowOff>
                  </from>
                  <to>
                    <xdr:col>6</xdr:col>
                    <xdr:colOff>419100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3AED6-52D7-4345-A785-3A9BFEE5A32D}">
  <sheetPr codeName="Sheet3">
    <tabColor theme="5" tint="-0.499984740745262"/>
  </sheetPr>
  <dimension ref="A1:K11"/>
  <sheetViews>
    <sheetView view="pageLayout" zoomScaleNormal="100" workbookViewId="0">
      <selection activeCell="D18" sqref="D18"/>
    </sheetView>
  </sheetViews>
  <sheetFormatPr defaultRowHeight="15" x14ac:dyDescent="0.25"/>
  <cols>
    <col min="1" max="1" width="6.7109375" customWidth="1"/>
    <col min="2" max="3" width="14" customWidth="1"/>
    <col min="4" max="4" width="7" customWidth="1"/>
    <col min="5" max="5" width="7.42578125" customWidth="1"/>
    <col min="6" max="6" width="6.7109375" customWidth="1"/>
    <col min="7" max="7" width="10.140625" customWidth="1"/>
    <col min="8" max="8" width="7.42578125" customWidth="1"/>
    <col min="9" max="9" width="5.5703125" customWidth="1"/>
    <col min="10" max="11" width="5.7109375" customWidth="1"/>
    <col min="13" max="14" width="9.140625" customWidth="1"/>
  </cols>
  <sheetData>
    <row r="1" spans="1:11" ht="15.75" thickBot="1" x14ac:dyDescent="0.3">
      <c r="A1" s="110" t="s">
        <v>39</v>
      </c>
      <c r="B1" s="111" t="s">
        <v>1</v>
      </c>
      <c r="C1" s="111" t="s">
        <v>97</v>
      </c>
      <c r="D1" s="112" t="s">
        <v>98</v>
      </c>
      <c r="E1" s="132" t="s">
        <v>54</v>
      </c>
      <c r="F1" s="133"/>
      <c r="G1" s="114">
        <f>COUNTIF(A:A,"Ja")</f>
        <v>0</v>
      </c>
      <c r="H1" s="130" t="s">
        <v>12</v>
      </c>
      <c r="I1" s="131"/>
      <c r="J1" s="131"/>
      <c r="K1" s="134"/>
    </row>
    <row r="2" spans="1:11" ht="15.75" thickBot="1" x14ac:dyDescent="0.3">
      <c r="A2" s="115"/>
      <c r="B2" s="116"/>
      <c r="C2" s="116"/>
      <c r="D2" s="117"/>
      <c r="E2" s="135" t="s">
        <v>55</v>
      </c>
      <c r="F2" s="168"/>
      <c r="G2" s="113">
        <f>COUNTIF(A:A,"Nein")</f>
        <v>0</v>
      </c>
      <c r="H2" s="136" t="s">
        <v>11</v>
      </c>
      <c r="I2" s="137"/>
      <c r="J2" s="138"/>
      <c r="K2" s="118"/>
    </row>
    <row r="3" spans="1:11" ht="15.75" thickBot="1" x14ac:dyDescent="0.3">
      <c r="A3" s="130" t="s">
        <v>7</v>
      </c>
      <c r="B3" s="134"/>
      <c r="C3" s="130" t="s">
        <v>43</v>
      </c>
      <c r="D3" s="134"/>
      <c r="E3" s="127" t="s">
        <v>61</v>
      </c>
      <c r="F3" s="169"/>
      <c r="G3" s="170" t="e">
        <f>AVERAGE(D:D)</f>
        <v>#DIV/0!</v>
      </c>
      <c r="H3" s="139" t="s">
        <v>10</v>
      </c>
      <c r="I3" s="140"/>
      <c r="J3" s="166" t="s">
        <v>9</v>
      </c>
      <c r="K3" s="167" t="s">
        <v>59</v>
      </c>
    </row>
    <row r="4" spans="1:11" ht="15.75" thickBot="1" x14ac:dyDescent="0.3">
      <c r="A4" s="159"/>
      <c r="B4" s="160"/>
      <c r="C4" s="159"/>
      <c r="D4" s="160"/>
      <c r="E4" s="127" t="s">
        <v>60</v>
      </c>
      <c r="F4" s="169"/>
      <c r="G4" s="170" t="e">
        <f>AVERAGE(E:E)</f>
        <v>#DIV/0!</v>
      </c>
      <c r="H4" s="172">
        <f>K2</f>
        <v>0</v>
      </c>
      <c r="I4" s="173">
        <f t="shared" ref="I4:I9" si="0">$K$2*K4</f>
        <v>0</v>
      </c>
      <c r="J4" s="174">
        <v>1</v>
      </c>
      <c r="K4" s="175">
        <v>0.91</v>
      </c>
    </row>
    <row r="5" spans="1:11" ht="15.75" thickBot="1" x14ac:dyDescent="0.3">
      <c r="A5" s="159"/>
      <c r="B5" s="160"/>
      <c r="C5" s="159"/>
      <c r="D5" s="160"/>
      <c r="E5" s="128"/>
      <c r="F5" s="129"/>
      <c r="G5" s="171"/>
      <c r="H5" s="177">
        <f>I4-1</f>
        <v>-1</v>
      </c>
      <c r="I5" s="178">
        <f t="shared" si="0"/>
        <v>0</v>
      </c>
      <c r="J5" s="174">
        <v>2</v>
      </c>
      <c r="K5" s="175">
        <v>0.81</v>
      </c>
    </row>
    <row r="6" spans="1:11" ht="15.75" thickBot="1" x14ac:dyDescent="0.3">
      <c r="A6" s="159"/>
      <c r="B6" s="160"/>
      <c r="C6" s="159"/>
      <c r="D6" s="160"/>
      <c r="E6" s="130" t="s">
        <v>44</v>
      </c>
      <c r="F6" s="131"/>
      <c r="G6" s="131"/>
      <c r="H6" s="172">
        <f t="shared" ref="H6:H9" si="1">I5-1</f>
        <v>-1</v>
      </c>
      <c r="I6" s="173">
        <f t="shared" si="0"/>
        <v>0</v>
      </c>
      <c r="J6" s="174">
        <v>3</v>
      </c>
      <c r="K6" s="175">
        <v>0.71</v>
      </c>
    </row>
    <row r="7" spans="1:11" ht="15.75" thickBot="1" x14ac:dyDescent="0.3">
      <c r="A7" s="159"/>
      <c r="B7" s="160"/>
      <c r="C7" s="159"/>
      <c r="D7" s="160"/>
      <c r="E7" s="159"/>
      <c r="F7" s="163"/>
      <c r="G7" s="163"/>
      <c r="H7" s="172">
        <f t="shared" si="1"/>
        <v>-1</v>
      </c>
      <c r="I7" s="173">
        <f t="shared" si="0"/>
        <v>0</v>
      </c>
      <c r="J7" s="174">
        <v>4</v>
      </c>
      <c r="K7" s="175">
        <v>0.61</v>
      </c>
    </row>
    <row r="8" spans="1:11" ht="15.75" thickBot="1" x14ac:dyDescent="0.3">
      <c r="A8" s="159"/>
      <c r="B8" s="160"/>
      <c r="C8" s="159"/>
      <c r="D8" s="160"/>
      <c r="E8" s="159"/>
      <c r="F8" s="163"/>
      <c r="G8" s="163"/>
      <c r="H8" s="172">
        <f t="shared" si="1"/>
        <v>-1</v>
      </c>
      <c r="I8" s="173">
        <f t="shared" si="0"/>
        <v>0</v>
      </c>
      <c r="J8" s="174">
        <v>5</v>
      </c>
      <c r="K8" s="175">
        <v>0.51</v>
      </c>
    </row>
    <row r="9" spans="1:11" ht="15.75" thickBot="1" x14ac:dyDescent="0.3">
      <c r="A9" s="161"/>
      <c r="B9" s="162"/>
      <c r="C9" s="161"/>
      <c r="D9" s="162"/>
      <c r="E9" s="161"/>
      <c r="F9" s="164"/>
      <c r="G9" s="164"/>
      <c r="H9" s="172">
        <f t="shared" si="1"/>
        <v>-1</v>
      </c>
      <c r="I9" s="173">
        <f t="shared" si="0"/>
        <v>0</v>
      </c>
      <c r="J9" s="174">
        <v>6</v>
      </c>
      <c r="K9" s="176">
        <v>0</v>
      </c>
    </row>
    <row r="10" spans="1:11" x14ac:dyDescent="0.25">
      <c r="A10" s="103" t="s">
        <v>96</v>
      </c>
      <c r="B10" s="104" t="s">
        <v>53</v>
      </c>
      <c r="C10" s="104" t="s">
        <v>52</v>
      </c>
      <c r="D10" s="104" t="s">
        <v>9</v>
      </c>
      <c r="E10" s="104" t="s">
        <v>14</v>
      </c>
      <c r="F10" s="104" t="s">
        <v>42</v>
      </c>
      <c r="G10" s="105" t="s">
        <v>13</v>
      </c>
    </row>
    <row r="11" spans="1:11" x14ac:dyDescent="0.25">
      <c r="A11" s="106"/>
      <c r="B11" s="107"/>
      <c r="C11" s="107"/>
      <c r="D11" s="107"/>
      <c r="E11" s="107"/>
      <c r="F11" s="108"/>
      <c r="G11" s="109"/>
    </row>
  </sheetData>
  <mergeCells count="14">
    <mergeCell ref="E6:G6"/>
    <mergeCell ref="A4:B9"/>
    <mergeCell ref="C4:D9"/>
    <mergeCell ref="E7:G9"/>
    <mergeCell ref="H2:J2"/>
    <mergeCell ref="H3:I3"/>
    <mergeCell ref="A3:B3"/>
    <mergeCell ref="C3:D3"/>
    <mergeCell ref="H1:K1"/>
    <mergeCell ref="E1:F1"/>
    <mergeCell ref="E2:F2"/>
    <mergeCell ref="E3:F3"/>
    <mergeCell ref="E4:F4"/>
    <mergeCell ref="E5:G5"/>
  </mergeCells>
  <pageMargins left="0.70866141732283472" right="0.31496062992125984" top="0.31496062992125984" bottom="0.31496062992125984" header="0" footer="0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Aktualisierenprüfungübersicht">
                <anchor moveWithCells="1" sizeWithCells="1">
                  <from>
                    <xdr:col>4</xdr:col>
                    <xdr:colOff>28575</xdr:colOff>
                    <xdr:row>4</xdr:row>
                    <xdr:rowOff>9525</xdr:rowOff>
                  </from>
                  <to>
                    <xdr:col>6</xdr:col>
                    <xdr:colOff>704850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5" name="Button 19">
              <controlPr defaultSize="0" print="0" autoFill="0" autoPict="0" macro="[0]!NotenÜbertragen">
                <anchor moveWithCells="1" sizeWithCells="1">
                  <from>
                    <xdr:col>7</xdr:col>
                    <xdr:colOff>76200</xdr:colOff>
                    <xdr:row>9</xdr:row>
                    <xdr:rowOff>9525</xdr:rowOff>
                  </from>
                  <to>
                    <xdr:col>10</xdr:col>
                    <xdr:colOff>342900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487E62D4-4CBD-440E-B489-45F7917ED83E}">
          <x14:formula1>
            <xm:f>Datenbank!$H$2:$H$101</xm:f>
          </x14:formula1>
          <xm:sqref>K4:K8</xm:sqref>
        </x14:dataValidation>
        <x14:dataValidation type="list" allowBlank="1" xr:uid="{642D6969-8363-45DF-8FC6-D22E636F1329}">
          <x14:formula1>
            <xm:f>Datenbank!$J$2:$J$3</xm:f>
          </x14:formula1>
          <xm:sqref>A11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E6A16-6761-466C-87B6-6EC34D44D887}">
  <sheetPr codeName="Sheet4">
    <tabColor theme="5" tint="-0.499984740745262"/>
  </sheetPr>
  <dimension ref="A1:I7"/>
  <sheetViews>
    <sheetView showGridLines="0" view="pageLayout" zoomScaleNormal="100" workbookViewId="0">
      <selection activeCell="L24" sqref="L24"/>
    </sheetView>
  </sheetViews>
  <sheetFormatPr defaultRowHeight="15" x14ac:dyDescent="0.25"/>
  <cols>
    <col min="1" max="1" width="12.7109375" bestFit="1" customWidth="1"/>
    <col min="2" max="2" width="13.28515625" customWidth="1"/>
    <col min="3" max="3" width="11.42578125" style="100" bestFit="1" customWidth="1"/>
    <col min="4" max="4" width="9.42578125" style="102" customWidth="1"/>
    <col min="5" max="5" width="29.28515625" bestFit="1" customWidth="1"/>
    <col min="6" max="6" width="13.42578125" bestFit="1" customWidth="1"/>
    <col min="8" max="9" width="9.140625" hidden="1" customWidth="1"/>
  </cols>
  <sheetData>
    <row r="1" spans="1:9" ht="15.75" thickBot="1" x14ac:dyDescent="0.3">
      <c r="A1" s="153" t="s">
        <v>95</v>
      </c>
      <c r="B1" s="154"/>
      <c r="C1" s="154"/>
      <c r="D1" s="154"/>
      <c r="E1" s="155"/>
      <c r="H1">
        <v>1</v>
      </c>
      <c r="I1">
        <f>COUNTIF(Table9[Note],H1)</f>
        <v>0</v>
      </c>
    </row>
    <row r="2" spans="1:9" x14ac:dyDescent="0.25">
      <c r="A2" s="13"/>
      <c r="B2" s="23"/>
      <c r="C2" s="98"/>
      <c r="D2" s="101"/>
      <c r="E2" s="12"/>
      <c r="H2">
        <v>2</v>
      </c>
      <c r="I2">
        <f>COUNTIF(Table9[Note],H2)</f>
        <v>0</v>
      </c>
    </row>
    <row r="3" spans="1:9" ht="15.75" thickBot="1" x14ac:dyDescent="0.3">
      <c r="A3" s="156"/>
      <c r="B3" s="157"/>
      <c r="C3" s="157"/>
      <c r="D3" s="157"/>
      <c r="E3" s="158"/>
      <c r="H3">
        <v>3</v>
      </c>
      <c r="I3">
        <f>COUNTIF(Table9[Note],H3)</f>
        <v>0</v>
      </c>
    </row>
    <row r="4" spans="1:9" x14ac:dyDescent="0.25">
      <c r="A4" s="49" t="s">
        <v>53</v>
      </c>
      <c r="B4" s="49" t="s">
        <v>52</v>
      </c>
      <c r="C4" s="99" t="s">
        <v>9</v>
      </c>
      <c r="D4" s="50" t="s">
        <v>14</v>
      </c>
      <c r="E4" s="51" t="s">
        <v>13</v>
      </c>
      <c r="H4">
        <v>4</v>
      </c>
      <c r="I4">
        <f>COUNTIF(Table9[Note],H4)</f>
        <v>0</v>
      </c>
    </row>
    <row r="5" spans="1:9" x14ac:dyDescent="0.25">
      <c r="H5">
        <v>5</v>
      </c>
      <c r="I5">
        <f>COUNTIF(Table9[Note],H5)</f>
        <v>0</v>
      </c>
    </row>
    <row r="6" spans="1:9" x14ac:dyDescent="0.25">
      <c r="H6">
        <v>6</v>
      </c>
      <c r="I6">
        <f>COUNTIF(Table9[Note],H6)</f>
        <v>0</v>
      </c>
    </row>
    <row r="7" spans="1:9" x14ac:dyDescent="0.25">
      <c r="H7" s="88" t="s">
        <v>99</v>
      </c>
    </row>
  </sheetData>
  <mergeCells count="2">
    <mergeCell ref="A1:E1"/>
    <mergeCell ref="A3:E3"/>
  </mergeCells>
  <phoneticPr fontId="6" type="noConversion"/>
  <pageMargins left="0.70866141732283472" right="0.31496062992125984" top="0.31496062992125984" bottom="0.31496062992125984" header="0" footer="0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D4EA-D32C-4397-B793-C8299AAB75FE}">
  <sheetPr codeName="Sheet5">
    <tabColor theme="5" tint="-0.499984740745262"/>
  </sheetPr>
  <dimension ref="A1:F33"/>
  <sheetViews>
    <sheetView view="pageLayout" zoomScale="85" zoomScaleNormal="100" zoomScalePageLayoutView="85" workbookViewId="0">
      <selection activeCell="L24" sqref="L24"/>
    </sheetView>
  </sheetViews>
  <sheetFormatPr defaultRowHeight="15" x14ac:dyDescent="0.25"/>
  <cols>
    <col min="1" max="1" width="12.5703125" bestFit="1" customWidth="1"/>
    <col min="2" max="2" width="13.85546875" customWidth="1"/>
    <col min="3" max="3" width="11.28515625" bestFit="1" customWidth="1"/>
    <col min="4" max="4" width="9" customWidth="1"/>
    <col min="5" max="5" width="10.7109375" customWidth="1"/>
  </cols>
  <sheetData>
    <row r="1" spans="1:6" ht="19.5" thickBot="1" x14ac:dyDescent="0.35">
      <c r="A1" s="141" t="s">
        <v>45</v>
      </c>
      <c r="B1" s="142"/>
      <c r="C1" s="142"/>
      <c r="D1" s="142"/>
      <c r="E1" s="142"/>
      <c r="F1" s="143"/>
    </row>
    <row r="2" spans="1:6" s="25" customFormat="1" ht="16.5" thickBot="1" x14ac:dyDescent="0.3">
      <c r="A2" s="40" t="s">
        <v>35</v>
      </c>
      <c r="B2" s="41"/>
      <c r="C2" s="41" t="s">
        <v>5</v>
      </c>
      <c r="D2" s="41"/>
      <c r="E2" s="41" t="s">
        <v>36</v>
      </c>
      <c r="F2" s="42"/>
    </row>
    <row r="3" spans="1:6" s="25" customFormat="1" ht="16.5" thickBot="1" x14ac:dyDescent="0.3">
      <c r="A3" s="40" t="s">
        <v>6</v>
      </c>
      <c r="B3" s="43"/>
      <c r="D3" s="144" t="s">
        <v>56</v>
      </c>
      <c r="E3" s="144"/>
      <c r="F3" s="44"/>
    </row>
    <row r="4" spans="1:6" x14ac:dyDescent="0.25">
      <c r="A4" s="48" t="s">
        <v>40</v>
      </c>
      <c r="B4" s="145"/>
      <c r="C4" s="145"/>
      <c r="D4" s="145"/>
      <c r="E4" s="145"/>
      <c r="F4" s="146"/>
    </row>
    <row r="5" spans="1:6" x14ac:dyDescent="0.25">
      <c r="A5" s="45" t="s">
        <v>57</v>
      </c>
      <c r="B5" s="147"/>
      <c r="C5" s="147"/>
      <c r="D5" s="147"/>
      <c r="E5" s="147"/>
      <c r="F5" s="148"/>
    </row>
    <row r="6" spans="1:6" x14ac:dyDescent="0.25">
      <c r="A6" s="47" t="s">
        <v>58</v>
      </c>
      <c r="B6" s="149"/>
      <c r="C6" s="149"/>
      <c r="D6" s="149"/>
      <c r="E6" s="149"/>
      <c r="F6" s="150"/>
    </row>
    <row r="7" spans="1:6" ht="15.75" thickBot="1" x14ac:dyDescent="0.3">
      <c r="A7" s="46"/>
      <c r="B7" s="151"/>
      <c r="C7" s="151"/>
      <c r="D7" s="151"/>
      <c r="E7" s="151"/>
      <c r="F7" s="152"/>
    </row>
    <row r="8" spans="1:6" ht="15.75" thickBot="1" x14ac:dyDescent="0.3">
      <c r="A8" s="1"/>
      <c r="D8" s="37" t="s">
        <v>46</v>
      </c>
      <c r="E8" s="38"/>
      <c r="F8" s="39"/>
    </row>
    <row r="9" spans="1:6" ht="15.75" thickBot="1" x14ac:dyDescent="0.3">
      <c r="A9" s="1"/>
      <c r="D9" s="28" t="s">
        <v>9</v>
      </c>
      <c r="E9" s="29" t="s">
        <v>47</v>
      </c>
      <c r="F9" s="30" t="s">
        <v>48</v>
      </c>
    </row>
    <row r="10" spans="1:6" x14ac:dyDescent="0.25">
      <c r="A10" s="1"/>
      <c r="D10" s="34">
        <v>1</v>
      </c>
      <c r="E10" s="35"/>
      <c r="F10" s="52"/>
    </row>
    <row r="11" spans="1:6" x14ac:dyDescent="0.25">
      <c r="A11" s="1"/>
      <c r="D11" s="31">
        <v>2</v>
      </c>
      <c r="E11" s="95"/>
      <c r="F11" s="53"/>
    </row>
    <row r="12" spans="1:6" x14ac:dyDescent="0.25">
      <c r="A12" s="1"/>
      <c r="D12" s="36">
        <v>3</v>
      </c>
      <c r="E12" s="96"/>
      <c r="F12" s="54"/>
    </row>
    <row r="13" spans="1:6" x14ac:dyDescent="0.25">
      <c r="A13" s="1"/>
      <c r="D13" s="31">
        <v>4</v>
      </c>
      <c r="E13" s="95"/>
      <c r="F13" s="53"/>
    </row>
    <row r="14" spans="1:6" x14ac:dyDescent="0.25">
      <c r="A14" s="1"/>
      <c r="D14" s="36">
        <v>5</v>
      </c>
      <c r="E14" s="96"/>
      <c r="F14" s="54"/>
    </row>
    <row r="15" spans="1:6" ht="15.75" thickBot="1" x14ac:dyDescent="0.3">
      <c r="A15" s="1"/>
      <c r="D15" s="32">
        <v>6</v>
      </c>
      <c r="E15" s="33"/>
      <c r="F15" s="55"/>
    </row>
    <row r="16" spans="1:6" x14ac:dyDescent="0.25">
      <c r="A16" s="90" t="s">
        <v>54</v>
      </c>
      <c r="B16" s="91"/>
      <c r="F16" s="97"/>
    </row>
    <row r="17" spans="1:6" ht="15.75" thickBot="1" x14ac:dyDescent="0.3">
      <c r="A17" s="92" t="s">
        <v>55</v>
      </c>
      <c r="B17" s="93"/>
      <c r="F17" s="97"/>
    </row>
    <row r="18" spans="1:6" x14ac:dyDescent="0.25">
      <c r="A18" s="119" t="s">
        <v>94</v>
      </c>
      <c r="B18" s="120" t="s">
        <v>52</v>
      </c>
      <c r="F18" s="97"/>
    </row>
    <row r="19" spans="1:6" x14ac:dyDescent="0.25">
      <c r="A19" s="1"/>
      <c r="F19" s="97"/>
    </row>
    <row r="20" spans="1:6" x14ac:dyDescent="0.25">
      <c r="A20" s="1"/>
      <c r="F20" s="97"/>
    </row>
    <row r="21" spans="1:6" x14ac:dyDescent="0.25">
      <c r="A21" s="1"/>
      <c r="F21" s="97"/>
    </row>
    <row r="22" spans="1:6" x14ac:dyDescent="0.25">
      <c r="A22" s="1"/>
      <c r="F22" s="97"/>
    </row>
    <row r="23" spans="1:6" x14ac:dyDescent="0.25">
      <c r="A23" s="1"/>
      <c r="F23" s="97"/>
    </row>
    <row r="24" spans="1:6" x14ac:dyDescent="0.25">
      <c r="A24" s="1"/>
      <c r="F24" s="97"/>
    </row>
    <row r="25" spans="1:6" x14ac:dyDescent="0.25">
      <c r="A25" s="1"/>
      <c r="F25" s="97"/>
    </row>
    <row r="26" spans="1:6" x14ac:dyDescent="0.25">
      <c r="A26" s="1"/>
      <c r="F26" s="97"/>
    </row>
    <row r="27" spans="1:6" x14ac:dyDescent="0.25">
      <c r="A27" s="1"/>
      <c r="F27" s="97"/>
    </row>
    <row r="28" spans="1:6" x14ac:dyDescent="0.25">
      <c r="A28" s="1"/>
      <c r="F28" s="97"/>
    </row>
    <row r="29" spans="1:6" x14ac:dyDescent="0.25">
      <c r="A29" s="1"/>
      <c r="F29" s="97"/>
    </row>
    <row r="30" spans="1:6" x14ac:dyDescent="0.25">
      <c r="A30" s="1"/>
      <c r="F30" s="97"/>
    </row>
    <row r="31" spans="1:6" x14ac:dyDescent="0.25">
      <c r="A31" s="1"/>
      <c r="F31" s="97"/>
    </row>
    <row r="32" spans="1:6" x14ac:dyDescent="0.25">
      <c r="A32" s="1"/>
      <c r="F32" s="97"/>
    </row>
    <row r="33" spans="1:6" ht="15.75" thickBot="1" x14ac:dyDescent="0.3">
      <c r="A33" s="27"/>
      <c r="B33" s="94"/>
      <c r="C33" s="94"/>
      <c r="D33" s="94"/>
      <c r="E33" s="94"/>
      <c r="F33" s="7"/>
    </row>
  </sheetData>
  <mergeCells count="6">
    <mergeCell ref="B7:F7"/>
    <mergeCell ref="A1:F1"/>
    <mergeCell ref="B4:F4"/>
    <mergeCell ref="B5:F5"/>
    <mergeCell ref="B6:F6"/>
    <mergeCell ref="D3:E3"/>
  </mergeCells>
  <pageMargins left="0.70866141732283472" right="0.31496062992125984" top="0.31496062992125984" bottom="0.31496062992125984" header="0" footer="0"/>
  <pageSetup paperSize="9" orientation="portrait" horizontalDpi="4294967293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C617F-1BD9-459F-8AD3-5A6B8B28B0A9}">
  <sheetPr codeName="Sheet11">
    <tabColor theme="9" tint="-0.249977111117893"/>
  </sheetPr>
  <dimension ref="A1:F19"/>
  <sheetViews>
    <sheetView showGridLines="0" view="pageLayout" zoomScaleNormal="100" workbookViewId="0">
      <selection activeCell="D14" sqref="D14"/>
    </sheetView>
  </sheetViews>
  <sheetFormatPr defaultRowHeight="15" x14ac:dyDescent="0.25"/>
  <cols>
    <col min="1" max="1" width="14.7109375" customWidth="1"/>
    <col min="2" max="2" width="13.85546875" customWidth="1"/>
    <col min="3" max="3" width="13.5703125" customWidth="1"/>
    <col min="4" max="4" width="15" customWidth="1"/>
    <col min="5" max="5" width="13.5703125" customWidth="1"/>
    <col min="6" max="6" width="17.42578125" customWidth="1"/>
    <col min="7" max="7" width="8" customWidth="1"/>
  </cols>
  <sheetData>
    <row r="1" spans="1:6" ht="15.75" thickBot="1" x14ac:dyDescent="0.3">
      <c r="A1" s="121" t="s">
        <v>2</v>
      </c>
      <c r="B1" s="122"/>
      <c r="C1" s="122"/>
      <c r="D1" s="57" t="s">
        <v>65</v>
      </c>
      <c r="E1" s="58"/>
      <c r="F1" s="188" t="s">
        <v>102</v>
      </c>
    </row>
    <row r="2" spans="1:6" x14ac:dyDescent="0.25">
      <c r="A2" s="6" t="s">
        <v>1</v>
      </c>
      <c r="B2" s="56"/>
      <c r="C2" s="123" t="s">
        <v>0</v>
      </c>
      <c r="D2" s="124"/>
      <c r="E2" s="26"/>
    </row>
    <row r="3" spans="1:6" ht="16.5" customHeight="1" thickBot="1" x14ac:dyDescent="0.3">
      <c r="A3" s="5" t="s">
        <v>53</v>
      </c>
      <c r="B3" s="4" t="s">
        <v>52</v>
      </c>
      <c r="C3" s="4" t="s">
        <v>33</v>
      </c>
      <c r="D3" s="4" t="s">
        <v>34</v>
      </c>
      <c r="E3" s="3" t="s">
        <v>91</v>
      </c>
      <c r="F3" s="14"/>
    </row>
    <row r="4" spans="1:6" x14ac:dyDescent="0.25">
      <c r="A4" s="24"/>
      <c r="B4" s="2"/>
      <c r="C4" s="2"/>
      <c r="D4" s="2"/>
      <c r="E4" s="1"/>
    </row>
    <row r="5" spans="1:6" x14ac:dyDescent="0.25">
      <c r="E5" s="88"/>
    </row>
    <row r="11" spans="1:6" ht="15.75" customHeight="1" x14ac:dyDescent="0.25"/>
    <row r="12" spans="1:6" ht="15" customHeight="1" x14ac:dyDescent="0.25"/>
    <row r="13" spans="1:6" ht="15" customHeight="1" x14ac:dyDescent="0.25"/>
    <row r="14" spans="1:6" ht="15.75" customHeight="1" x14ac:dyDescent="0.25"/>
    <row r="16" spans="1:6" ht="15.75" customHeight="1" x14ac:dyDescent="0.25"/>
    <row r="17" ht="15" customHeight="1" x14ac:dyDescent="0.25"/>
    <row r="18" ht="15" customHeight="1" x14ac:dyDescent="0.25"/>
    <row r="19" ht="15.75" customHeight="1" x14ac:dyDescent="0.25"/>
  </sheetData>
  <mergeCells count="2">
    <mergeCell ref="C2:D2"/>
    <mergeCell ref="A1:C1"/>
  </mergeCells>
  <pageMargins left="0.70866141732283472" right="0.31496062992125984" top="0.31496062992125984" bottom="0.31496062992125984" header="0" footer="0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chülerMaskeAnlegen_Click">
                <anchor moveWithCells="1" sizeWithCells="1">
                  <from>
                    <xdr:col>5</xdr:col>
                    <xdr:colOff>47625</xdr:colOff>
                    <xdr:row>1</xdr:row>
                    <xdr:rowOff>47625</xdr:rowOff>
                  </from>
                  <to>
                    <xdr:col>5</xdr:col>
                    <xdr:colOff>1247775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6A92C-3A89-4C8D-8889-05BAC1B155C6}">
  <sheetPr codeName="Sheet1">
    <tabColor theme="9" tint="-0.249977111117893"/>
  </sheetPr>
  <dimension ref="A1:D38"/>
  <sheetViews>
    <sheetView showGridLines="0" view="pageLayout" zoomScaleNormal="100" workbookViewId="0">
      <selection activeCell="B7" sqref="B7"/>
    </sheetView>
  </sheetViews>
  <sheetFormatPr defaultRowHeight="15" x14ac:dyDescent="0.25"/>
  <cols>
    <col min="1" max="1" width="12.42578125" customWidth="1"/>
    <col min="2" max="2" width="9.7109375" customWidth="1"/>
    <col min="3" max="3" width="5.28515625" style="8" customWidth="1"/>
    <col min="4" max="4" width="5" customWidth="1"/>
    <col min="5" max="19" width="5.85546875" customWidth="1"/>
  </cols>
  <sheetData>
    <row r="1" spans="1:4" x14ac:dyDescent="0.25">
      <c r="A1" s="125" t="s">
        <v>8</v>
      </c>
      <c r="B1" s="126"/>
      <c r="C1" s="126"/>
      <c r="D1" s="189"/>
    </row>
    <row r="2" spans="1:4" ht="15.75" thickBot="1" x14ac:dyDescent="0.3">
      <c r="A2" s="190"/>
      <c r="B2" s="191"/>
      <c r="C2" s="191"/>
      <c r="D2" s="192"/>
    </row>
    <row r="3" spans="1:4" ht="15.75" thickBot="1" x14ac:dyDescent="0.3">
      <c r="A3" s="86" t="s">
        <v>53</v>
      </c>
      <c r="B3" s="83"/>
      <c r="C3" s="84"/>
      <c r="D3" s="85"/>
    </row>
    <row r="4" spans="1:4" ht="15.75" thickBot="1" x14ac:dyDescent="0.3">
      <c r="A4" s="86" t="s">
        <v>52</v>
      </c>
      <c r="B4" s="83"/>
      <c r="C4" s="83"/>
      <c r="D4" s="85"/>
    </row>
    <row r="5" spans="1:4" ht="15.75" thickBot="1" x14ac:dyDescent="0.3">
      <c r="A5" s="86" t="s">
        <v>92</v>
      </c>
      <c r="B5" s="83"/>
      <c r="C5" s="83"/>
      <c r="D5" s="85"/>
    </row>
    <row r="6" spans="1:4" ht="15.75" thickBot="1" x14ac:dyDescent="0.3">
      <c r="A6" s="86" t="s">
        <v>35</v>
      </c>
      <c r="B6" s="83"/>
      <c r="C6" s="84"/>
      <c r="D6" s="85"/>
    </row>
    <row r="7" spans="1:4" ht="15.75" thickBot="1" x14ac:dyDescent="0.3">
      <c r="A7" s="86" t="s">
        <v>38</v>
      </c>
      <c r="B7" s="165"/>
      <c r="C7" s="84"/>
      <c r="D7" s="85" t="s">
        <v>9</v>
      </c>
    </row>
    <row r="8" spans="1:4" ht="77.25" thickBot="1" x14ac:dyDescent="0.3">
      <c r="A8" s="13"/>
      <c r="B8" s="12"/>
      <c r="C8" s="179" t="s">
        <v>7</v>
      </c>
      <c r="D8" s="181"/>
    </row>
    <row r="9" spans="1:4" ht="77.25" thickBot="1" x14ac:dyDescent="0.3">
      <c r="A9" s="11"/>
      <c r="B9" s="87"/>
      <c r="C9" s="180" t="s">
        <v>6</v>
      </c>
      <c r="D9" s="182"/>
    </row>
    <row r="10" spans="1:4" ht="21.75" thickBot="1" x14ac:dyDescent="0.4">
      <c r="A10" s="10" t="s">
        <v>5</v>
      </c>
      <c r="B10" s="9" t="s">
        <v>4</v>
      </c>
      <c r="C10" s="81" t="s">
        <v>3</v>
      </c>
    </row>
    <row r="11" spans="1:4" ht="15.75" thickBot="1" x14ac:dyDescent="0.3">
      <c r="A11" s="78" t="s">
        <v>32</v>
      </c>
      <c r="B11" s="79" t="s">
        <v>31</v>
      </c>
      <c r="C11" s="82" t="e">
        <f>AVERAGE(NotenSchülerEinzel[#This Row])</f>
        <v>#DIV/0!</v>
      </c>
    </row>
    <row r="12" spans="1:4" ht="15.75" thickBot="1" x14ac:dyDescent="0.3">
      <c r="A12" s="13"/>
      <c r="B12" s="78" t="s">
        <v>28</v>
      </c>
      <c r="C12" s="82" t="e">
        <f>AVERAGE(NotenSchülerEinzel[#This Row])</f>
        <v>#DIV/0!</v>
      </c>
    </row>
    <row r="13" spans="1:4" ht="15.75" thickBot="1" x14ac:dyDescent="0.3">
      <c r="A13" s="11"/>
      <c r="B13" s="79" t="s">
        <v>24</v>
      </c>
      <c r="C13" s="82" t="e">
        <f>AVERAGE(NotenSchülerEinzel[#This Row])</f>
        <v>#DIV/0!</v>
      </c>
    </row>
    <row r="14" spans="1:4" ht="15.75" thickBot="1" x14ac:dyDescent="0.3">
      <c r="A14" s="78" t="s">
        <v>20</v>
      </c>
      <c r="B14" s="79" t="s">
        <v>31</v>
      </c>
      <c r="C14" s="82" t="e">
        <f>AVERAGE(NotenSchülerEinzel[#This Row])</f>
        <v>#DIV/0!</v>
      </c>
    </row>
    <row r="15" spans="1:4" ht="15.75" thickBot="1" x14ac:dyDescent="0.3">
      <c r="A15" s="13"/>
      <c r="B15" s="78" t="s">
        <v>28</v>
      </c>
      <c r="C15" s="82" t="e">
        <f>AVERAGE(NotenSchülerEinzel[#This Row])</f>
        <v>#DIV/0!</v>
      </c>
    </row>
    <row r="16" spans="1:4" ht="15.75" thickBot="1" x14ac:dyDescent="0.3">
      <c r="A16" s="11"/>
      <c r="B16" s="79" t="s">
        <v>24</v>
      </c>
      <c r="C16" s="82" t="e">
        <f>AVERAGE(NotenSchülerEinzel[#This Row])</f>
        <v>#DIV/0!</v>
      </c>
    </row>
    <row r="17" spans="1:3" ht="15.75" thickBot="1" x14ac:dyDescent="0.3">
      <c r="A17" s="78" t="s">
        <v>25</v>
      </c>
      <c r="B17" s="79" t="s">
        <v>31</v>
      </c>
      <c r="C17" s="82" t="e">
        <f>AVERAGE(NotenSchülerEinzel[#This Row])</f>
        <v>#DIV/0!</v>
      </c>
    </row>
    <row r="18" spans="1:3" ht="15.75" thickBot="1" x14ac:dyDescent="0.3">
      <c r="A18" s="13"/>
      <c r="B18" s="78" t="s">
        <v>28</v>
      </c>
      <c r="C18" s="82" t="e">
        <f>AVERAGE(NotenSchülerEinzel[#This Row])</f>
        <v>#DIV/0!</v>
      </c>
    </row>
    <row r="19" spans="1:3" ht="15.75" thickBot="1" x14ac:dyDescent="0.3">
      <c r="A19" s="11"/>
      <c r="B19" s="79" t="s">
        <v>24</v>
      </c>
      <c r="C19" s="82" t="e">
        <f>AVERAGE(NotenSchülerEinzel[#This Row])</f>
        <v>#DIV/0!</v>
      </c>
    </row>
    <row r="20" spans="1:3" ht="15.75" thickBot="1" x14ac:dyDescent="0.3">
      <c r="A20" s="78" t="s">
        <v>22</v>
      </c>
      <c r="B20" s="79" t="s">
        <v>31</v>
      </c>
      <c r="C20" s="82" t="e">
        <f>AVERAGE(NotenSchülerEinzel[#This Row])</f>
        <v>#DIV/0!</v>
      </c>
    </row>
    <row r="21" spans="1:3" ht="15.75" thickBot="1" x14ac:dyDescent="0.3">
      <c r="A21" s="13"/>
      <c r="B21" s="78" t="s">
        <v>28</v>
      </c>
      <c r="C21" s="82" t="e">
        <f>AVERAGE(NotenSchülerEinzel[#This Row])</f>
        <v>#DIV/0!</v>
      </c>
    </row>
    <row r="22" spans="1:3" ht="15.75" thickBot="1" x14ac:dyDescent="0.3">
      <c r="A22" s="11"/>
      <c r="B22" s="79" t="s">
        <v>24</v>
      </c>
      <c r="C22" s="82" t="e">
        <f>AVERAGE(NotenSchülerEinzel[#This Row])</f>
        <v>#DIV/0!</v>
      </c>
    </row>
    <row r="23" spans="1:3" ht="15.75" thickBot="1" x14ac:dyDescent="0.3">
      <c r="A23" s="78"/>
      <c r="B23" s="79"/>
      <c r="C23" s="82" t="e">
        <f>AVERAGE(NotenSchülerEinzel[#This Row])</f>
        <v>#DIV/0!</v>
      </c>
    </row>
    <row r="24" spans="1:3" ht="15.75" thickBot="1" x14ac:dyDescent="0.3">
      <c r="A24" s="13"/>
      <c r="B24" s="78"/>
      <c r="C24" s="82" t="e">
        <f>AVERAGE(NotenSchülerEinzel[#This Row])</f>
        <v>#DIV/0!</v>
      </c>
    </row>
    <row r="25" spans="1:3" ht="15.75" thickBot="1" x14ac:dyDescent="0.3">
      <c r="A25" s="11"/>
      <c r="B25" s="79"/>
      <c r="C25" s="82" t="e">
        <f>AVERAGE(NotenSchülerEinzel[#This Row])</f>
        <v>#DIV/0!</v>
      </c>
    </row>
    <row r="26" spans="1:3" ht="15.75" thickBot="1" x14ac:dyDescent="0.3">
      <c r="A26" s="78"/>
      <c r="B26" s="78"/>
      <c r="C26" s="82" t="e">
        <f>AVERAGE(NotenSchülerEinzel[#This Row])</f>
        <v>#DIV/0!</v>
      </c>
    </row>
    <row r="27" spans="1:3" ht="15.75" thickBot="1" x14ac:dyDescent="0.3">
      <c r="A27" s="13"/>
      <c r="B27" s="79"/>
      <c r="C27" s="82" t="e">
        <f>AVERAGE(NotenSchülerEinzel[#This Row])</f>
        <v>#DIV/0!</v>
      </c>
    </row>
    <row r="28" spans="1:3" ht="15.75" thickBot="1" x14ac:dyDescent="0.3">
      <c r="A28" s="11"/>
      <c r="B28" s="80"/>
      <c r="C28" s="82" t="e">
        <f>AVERAGE(NotenSchülerEinzel[#This Row])</f>
        <v>#DIV/0!</v>
      </c>
    </row>
    <row r="29" spans="1:3" ht="15.75" thickBot="1" x14ac:dyDescent="0.3">
      <c r="A29" s="78"/>
      <c r="B29" s="78"/>
      <c r="C29" s="82" t="e">
        <f>AVERAGE(NotenSchülerEinzel[#This Row])</f>
        <v>#DIV/0!</v>
      </c>
    </row>
    <row r="30" spans="1:3" ht="15.75" thickBot="1" x14ac:dyDescent="0.3">
      <c r="A30" s="13"/>
      <c r="B30" s="79"/>
      <c r="C30" s="82" t="e">
        <f>AVERAGE(NotenSchülerEinzel[#This Row])</f>
        <v>#DIV/0!</v>
      </c>
    </row>
    <row r="31" spans="1:3" ht="15.75" thickBot="1" x14ac:dyDescent="0.3">
      <c r="A31" s="11"/>
      <c r="B31" s="80"/>
      <c r="C31" s="82" t="e">
        <f>AVERAGE(NotenSchülerEinzel[#This Row])</f>
        <v>#DIV/0!</v>
      </c>
    </row>
    <row r="32" spans="1:3" ht="15.75" thickBot="1" x14ac:dyDescent="0.3">
      <c r="A32" s="78"/>
      <c r="B32" s="78"/>
      <c r="C32" s="82" t="e">
        <f>AVERAGE(NotenSchülerEinzel[#This Row])</f>
        <v>#DIV/0!</v>
      </c>
    </row>
    <row r="33" spans="1:3" ht="15.75" thickBot="1" x14ac:dyDescent="0.3">
      <c r="A33" s="13"/>
      <c r="B33" s="79"/>
      <c r="C33" s="82" t="e">
        <f>AVERAGE(NotenSchülerEinzel[#This Row])</f>
        <v>#DIV/0!</v>
      </c>
    </row>
    <row r="34" spans="1:3" ht="15.75" thickBot="1" x14ac:dyDescent="0.3">
      <c r="A34" s="11"/>
      <c r="B34" s="80"/>
      <c r="C34" s="82" t="e">
        <f>AVERAGE(NotenSchülerEinzel[#This Row])</f>
        <v>#DIV/0!</v>
      </c>
    </row>
    <row r="35" spans="1:3" ht="15.75" thickBot="1" x14ac:dyDescent="0.3">
      <c r="A35" s="78"/>
      <c r="B35" s="78"/>
      <c r="C35" s="82" t="e">
        <f>AVERAGE(NotenSchülerEinzel[#This Row])</f>
        <v>#DIV/0!</v>
      </c>
    </row>
    <row r="36" spans="1:3" ht="15.75" thickBot="1" x14ac:dyDescent="0.3">
      <c r="A36" s="13"/>
      <c r="B36" s="79"/>
      <c r="C36" s="82" t="e">
        <f>AVERAGE(NotenSchülerEinzel[#This Row])</f>
        <v>#DIV/0!</v>
      </c>
    </row>
    <row r="37" spans="1:3" ht="15.75" thickBot="1" x14ac:dyDescent="0.3">
      <c r="A37" s="11"/>
      <c r="B37" s="80"/>
      <c r="C37" s="82" t="e">
        <f>AVERAGE(NotenSchülerEinzel[#This Row])</f>
        <v>#DIV/0!</v>
      </c>
    </row>
    <row r="38" spans="1:3" x14ac:dyDescent="0.25">
      <c r="A38" t="s">
        <v>62</v>
      </c>
    </row>
  </sheetData>
  <dataConsolidate/>
  <mergeCells count="1">
    <mergeCell ref="A1:D2"/>
  </mergeCells>
  <phoneticPr fontId="6" type="noConversion"/>
  <pageMargins left="0.70866141732283472" right="0.31496062992125984" top="0.31496062992125984" bottom="0.31496062992125984" header="0" footer="0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EinzelNoteEintragen_Click">
                <anchor moveWithCells="1" sizeWithCells="1">
                  <from>
                    <xdr:col>4</xdr:col>
                    <xdr:colOff>247650</xdr:colOff>
                    <xdr:row>0</xdr:row>
                    <xdr:rowOff>95250</xdr:rowOff>
                  </from>
                  <to>
                    <xdr:col>8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52A81067-3FC3-49EE-AE41-A466BAEEBB7D}">
          <x14:formula1>
            <xm:f>Datenbank!$A$2:$A$13</xm:f>
          </x14:formula1>
          <xm:sqref>A11 A14 A17 A20 A23 A26 A29 A32 A35</xm:sqref>
        </x14:dataValidation>
        <x14:dataValidation type="list" allowBlank="1" showInputMessage="1" xr:uid="{D72294DC-20B8-44ED-984B-B52D70021456}">
          <x14:formula1>
            <xm:f>Datenbank!$B$2:$B$13</xm:f>
          </x14:formula1>
          <xm:sqref>B11:B37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13CF0-A509-47F4-8F6E-4BDB1D4BCABB}">
  <sheetPr codeName="Sheet2">
    <tabColor theme="9" tint="-0.249977111117893"/>
  </sheetPr>
  <dimension ref="A1:D34"/>
  <sheetViews>
    <sheetView showGridLines="0" view="pageLayout" zoomScaleNormal="100" workbookViewId="0">
      <selection activeCell="G11" sqref="G11"/>
    </sheetView>
  </sheetViews>
  <sheetFormatPr defaultRowHeight="15" x14ac:dyDescent="0.25"/>
  <cols>
    <col min="1" max="1" width="16" style="186" customWidth="1"/>
    <col min="2" max="2" width="9.42578125" style="186" customWidth="1"/>
    <col min="3" max="3" width="5.28515625" style="187" customWidth="1"/>
    <col min="4" max="4" width="7.5703125" style="186" customWidth="1"/>
    <col min="5" max="19" width="5.85546875" style="186" customWidth="1"/>
    <col min="20" max="16384" width="9.140625" style="186"/>
  </cols>
  <sheetData>
    <row r="1" spans="1:4" x14ac:dyDescent="0.25">
      <c r="A1" s="193" t="s">
        <v>100</v>
      </c>
      <c r="B1" s="194"/>
      <c r="C1" s="195"/>
      <c r="D1" s="184"/>
    </row>
    <row r="2" spans="1:4" ht="15.75" thickBot="1" x14ac:dyDescent="0.3">
      <c r="A2" s="196" t="s">
        <v>101</v>
      </c>
      <c r="B2" s="197"/>
      <c r="C2" s="198"/>
      <c r="D2" s="184"/>
    </row>
    <row r="3" spans="1:4" ht="15.75" thickBot="1" x14ac:dyDescent="0.3">
      <c r="A3" s="199" t="s">
        <v>35</v>
      </c>
      <c r="B3" s="210"/>
      <c r="C3" s="211"/>
      <c r="D3" s="184"/>
    </row>
    <row r="4" spans="1:4" ht="15.75" thickBot="1" x14ac:dyDescent="0.3">
      <c r="A4" s="200" t="s">
        <v>38</v>
      </c>
      <c r="B4" s="213"/>
      <c r="C4" s="214"/>
      <c r="D4" s="184" t="s">
        <v>103</v>
      </c>
    </row>
    <row r="5" spans="1:4" ht="98.25" thickBot="1" x14ac:dyDescent="0.3">
      <c r="A5" s="119"/>
      <c r="B5" s="212"/>
      <c r="C5" s="209" t="s">
        <v>53</v>
      </c>
      <c r="D5" s="185"/>
    </row>
    <row r="6" spans="1:4" ht="86.25" thickBot="1" x14ac:dyDescent="0.3">
      <c r="A6" s="119"/>
      <c r="B6" s="212"/>
      <c r="C6" s="183" t="s">
        <v>52</v>
      </c>
      <c r="D6" s="185"/>
    </row>
    <row r="7" spans="1:4" ht="21.75" thickBot="1" x14ac:dyDescent="0.4">
      <c r="A7" s="10" t="s">
        <v>5</v>
      </c>
      <c r="B7" s="9" t="s">
        <v>4</v>
      </c>
      <c r="C7" s="208" t="s">
        <v>3</v>
      </c>
    </row>
    <row r="8" spans="1:4" x14ac:dyDescent="0.25">
      <c r="A8" s="205" t="s">
        <v>32</v>
      </c>
      <c r="B8" s="206" t="s">
        <v>31</v>
      </c>
      <c r="C8" s="207" t="e" cm="1">
        <f t="array" ref="C8">acu()</f>
        <v>#VALUE!</v>
      </c>
    </row>
    <row r="9" spans="1:4" x14ac:dyDescent="0.25">
      <c r="A9" s="215" t="s">
        <v>105</v>
      </c>
      <c r="B9" s="204" t="s">
        <v>28</v>
      </c>
      <c r="C9" s="207" t="e" cm="1">
        <f t="array" ref="C9">acu()</f>
        <v>#VALUE!</v>
      </c>
    </row>
    <row r="10" spans="1:4" x14ac:dyDescent="0.25">
      <c r="A10" s="202" t="e">
        <f>AVERAGE(C8:C10)</f>
        <v>#VALUE!</v>
      </c>
      <c r="B10" s="203" t="s">
        <v>24</v>
      </c>
      <c r="C10" s="207" t="e" cm="1">
        <f t="array" ref="C10">acu()</f>
        <v>#VALUE!</v>
      </c>
    </row>
    <row r="11" spans="1:4" x14ac:dyDescent="0.25">
      <c r="A11" s="201" t="s">
        <v>20</v>
      </c>
      <c r="B11" s="203" t="s">
        <v>31</v>
      </c>
      <c r="C11" s="207" t="e" cm="1">
        <f t="array" ref="C11">acu()</f>
        <v>#VALUE!</v>
      </c>
    </row>
    <row r="12" spans="1:4" x14ac:dyDescent="0.25">
      <c r="A12" s="215" t="s">
        <v>105</v>
      </c>
      <c r="B12" s="204" t="s">
        <v>28</v>
      </c>
      <c r="C12" s="207" t="e" cm="1">
        <f t="array" ref="C12">acu()</f>
        <v>#VALUE!</v>
      </c>
    </row>
    <row r="13" spans="1:4" x14ac:dyDescent="0.25">
      <c r="A13" s="202" t="e">
        <f>AVERAGE(C11:C13)</f>
        <v>#VALUE!</v>
      </c>
      <c r="B13" s="203" t="s">
        <v>24</v>
      </c>
      <c r="C13" s="207" t="e" cm="1">
        <f t="array" ref="C13">acu()</f>
        <v>#VALUE!</v>
      </c>
    </row>
    <row r="14" spans="1:4" x14ac:dyDescent="0.25">
      <c r="A14" s="201" t="s">
        <v>25</v>
      </c>
      <c r="B14" s="203" t="s">
        <v>31</v>
      </c>
      <c r="C14" s="207" t="e" cm="1">
        <f t="array" ref="C14">acu()</f>
        <v>#VALUE!</v>
      </c>
    </row>
    <row r="15" spans="1:4" x14ac:dyDescent="0.25">
      <c r="A15" s="215" t="s">
        <v>105</v>
      </c>
      <c r="B15" s="204" t="s">
        <v>28</v>
      </c>
      <c r="C15" s="207" t="e" cm="1">
        <f t="array" ref="C15">acu()</f>
        <v>#VALUE!</v>
      </c>
    </row>
    <row r="16" spans="1:4" x14ac:dyDescent="0.25">
      <c r="A16" s="202" t="e">
        <f>AVERAGE(C14:C16)</f>
        <v>#VALUE!</v>
      </c>
      <c r="B16" s="203" t="s">
        <v>24</v>
      </c>
      <c r="C16" s="207" t="e" cm="1">
        <f t="array" ref="C16">acu()</f>
        <v>#VALUE!</v>
      </c>
    </row>
    <row r="17" spans="1:3" x14ac:dyDescent="0.25">
      <c r="A17" s="201" t="s">
        <v>22</v>
      </c>
      <c r="B17" s="203" t="s">
        <v>31</v>
      </c>
      <c r="C17" s="207" t="e" cm="1">
        <f t="array" ref="C17">acu()</f>
        <v>#VALUE!</v>
      </c>
    </row>
    <row r="18" spans="1:3" x14ac:dyDescent="0.25">
      <c r="A18" s="215" t="s">
        <v>105</v>
      </c>
      <c r="B18" s="204" t="s">
        <v>28</v>
      </c>
      <c r="C18" s="207" t="e" cm="1">
        <f t="array" ref="C18">acu()</f>
        <v>#VALUE!</v>
      </c>
    </row>
    <row r="19" spans="1:3" x14ac:dyDescent="0.25">
      <c r="A19" s="202" t="e">
        <f>AVERAGE(C17:C19)</f>
        <v>#VALUE!</v>
      </c>
      <c r="B19" s="203" t="s">
        <v>24</v>
      </c>
      <c r="C19" s="207" t="e" cm="1">
        <f t="array" ref="C19">acu()</f>
        <v>#VALUE!</v>
      </c>
    </row>
    <row r="20" spans="1:3" x14ac:dyDescent="0.25">
      <c r="A20" s="201"/>
      <c r="B20" s="203"/>
      <c r="C20" s="207" t="e" cm="1">
        <f t="array" ref="C20">acu()</f>
        <v>#VALUE!</v>
      </c>
    </row>
    <row r="21" spans="1:3" x14ac:dyDescent="0.25">
      <c r="A21" s="215" t="s">
        <v>105</v>
      </c>
      <c r="B21" s="204"/>
      <c r="C21" s="207" t="e" cm="1">
        <f t="array" ref="C21">acu()</f>
        <v>#VALUE!</v>
      </c>
    </row>
    <row r="22" spans="1:3" x14ac:dyDescent="0.25">
      <c r="A22" s="202" t="e">
        <f>AVERAGE(C20:C22)</f>
        <v>#VALUE!</v>
      </c>
      <c r="B22" s="203"/>
      <c r="C22" s="207" t="e" cm="1">
        <f t="array" ref="C22">acu()</f>
        <v>#VALUE!</v>
      </c>
    </row>
    <row r="23" spans="1:3" x14ac:dyDescent="0.25">
      <c r="A23" s="201"/>
      <c r="B23" s="204"/>
      <c r="C23" s="207" t="e" cm="1">
        <f t="array" ref="C23">acu()</f>
        <v>#VALUE!</v>
      </c>
    </row>
    <row r="24" spans="1:3" x14ac:dyDescent="0.25">
      <c r="A24" s="215" t="s">
        <v>105</v>
      </c>
      <c r="B24" s="203"/>
      <c r="C24" s="207" t="e" cm="1">
        <f t="array" ref="C24">acu()</f>
        <v>#VALUE!</v>
      </c>
    </row>
    <row r="25" spans="1:3" x14ac:dyDescent="0.25">
      <c r="A25" s="202" t="e">
        <f>AVERAGE(C23:C25)</f>
        <v>#VALUE!</v>
      </c>
      <c r="B25" s="204"/>
      <c r="C25" s="207" t="e" cm="1">
        <f t="array" ref="C25">acu()</f>
        <v>#VALUE!</v>
      </c>
    </row>
    <row r="26" spans="1:3" x14ac:dyDescent="0.25">
      <c r="A26" s="201"/>
      <c r="B26" s="204"/>
      <c r="C26" s="207" t="e" cm="1">
        <f t="array" ref="C26">acu()</f>
        <v>#VALUE!</v>
      </c>
    </row>
    <row r="27" spans="1:3" x14ac:dyDescent="0.25">
      <c r="A27" s="215" t="s">
        <v>105</v>
      </c>
      <c r="B27" s="203"/>
      <c r="C27" s="207" t="e" cm="1">
        <f t="array" ref="C27">acu()</f>
        <v>#VALUE!</v>
      </c>
    </row>
    <row r="28" spans="1:3" x14ac:dyDescent="0.25">
      <c r="A28" s="202" t="e">
        <f>AVERAGE(C26:C28)</f>
        <v>#VALUE!</v>
      </c>
      <c r="B28" s="204"/>
      <c r="C28" s="207" t="e" cm="1">
        <f t="array" ref="C28">acu()</f>
        <v>#VALUE!</v>
      </c>
    </row>
    <row r="29" spans="1:3" x14ac:dyDescent="0.25">
      <c r="A29" s="201"/>
      <c r="B29" s="204"/>
      <c r="C29" s="207" t="e" cm="1">
        <f t="array" ref="C29">acu()</f>
        <v>#VALUE!</v>
      </c>
    </row>
    <row r="30" spans="1:3" x14ac:dyDescent="0.25">
      <c r="A30" s="215" t="s">
        <v>105</v>
      </c>
      <c r="B30" s="203"/>
      <c r="C30" s="207" t="e" cm="1">
        <f t="array" ref="C30">acu()</f>
        <v>#VALUE!</v>
      </c>
    </row>
    <row r="31" spans="1:3" x14ac:dyDescent="0.25">
      <c r="A31" s="202" t="e">
        <f>AVERAGE(C29:C31)</f>
        <v>#VALUE!</v>
      </c>
      <c r="B31" s="204"/>
      <c r="C31" s="207" t="e" cm="1">
        <f t="array" ref="C31">acu()</f>
        <v>#VALUE!</v>
      </c>
    </row>
    <row r="32" spans="1:3" x14ac:dyDescent="0.25">
      <c r="A32" s="201"/>
      <c r="B32" s="204"/>
      <c r="C32" s="207" t="e" cm="1">
        <f t="array" ref="C32">acu()</f>
        <v>#VALUE!</v>
      </c>
    </row>
    <row r="33" spans="1:3" x14ac:dyDescent="0.25">
      <c r="A33" s="215" t="s">
        <v>105</v>
      </c>
      <c r="B33" s="203"/>
      <c r="C33" s="207" t="e" cm="1">
        <f t="array" ref="C33">acu()</f>
        <v>#VALUE!</v>
      </c>
    </row>
    <row r="34" spans="1:3" x14ac:dyDescent="0.25">
      <c r="A34" s="202" t="e">
        <f>AVERAGE(C32:C34)</f>
        <v>#VALUE!</v>
      </c>
      <c r="B34" s="204"/>
      <c r="C34" s="207" t="e" cm="1">
        <f t="array" ref="C34">acu()</f>
        <v>#VALUE!</v>
      </c>
    </row>
  </sheetData>
  <dataConsolidate/>
  <mergeCells count="4">
    <mergeCell ref="A1:C1"/>
    <mergeCell ref="A2:C2"/>
    <mergeCell ref="B4:C4"/>
    <mergeCell ref="B3:C3"/>
  </mergeCells>
  <pageMargins left="0.70866141732283472" right="0.31496062992125984" top="0.31496062992125984" bottom="0.31496062992125984" header="0" footer="0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307" r:id="rId4" name="btnupdate">
              <controlPr defaultSize="0" print="0" autoFill="0" autoPict="0" macro="[0]!jahrUpdateButton">
                <anchor moveWithCells="1" sizeWithCells="1">
                  <from>
                    <xdr:col>3</xdr:col>
                    <xdr:colOff>190500</xdr:colOff>
                    <xdr:row>0</xdr:row>
                    <xdr:rowOff>38100</xdr:rowOff>
                  </from>
                  <to>
                    <xdr:col>6</xdr:col>
                    <xdr:colOff>285750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8372780-36D8-4ED8-BE83-08BF581CD267}">
          <x14:formula1>
            <xm:f>Datenbank!$B$2:$B$13</xm:f>
          </x14:formula1>
          <xm:sqref>B8:B34</xm:sqref>
        </x14:dataValidation>
        <x14:dataValidation type="list" allowBlank="1" showInputMessage="1" xr:uid="{6F8169D1-767A-4703-8B1E-45A215B89D2A}">
          <x14:formula1>
            <xm:f>Datenbank!$A$2:$A$13</xm:f>
          </x14:formula1>
          <xm:sqref>A8 A11 A14 A17 A20 A23 A26 A29 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35D2A-89F2-492C-88AC-A74E554840F7}">
  <sheetPr codeName="Sheet6">
    <tabColor theme="4"/>
  </sheetPr>
  <dimension ref="A1:L101"/>
  <sheetViews>
    <sheetView showGridLines="0" topLeftCell="A80" workbookViewId="0">
      <selection activeCell="L24" sqref="L24"/>
    </sheetView>
  </sheetViews>
  <sheetFormatPr defaultRowHeight="15" x14ac:dyDescent="0.25"/>
  <cols>
    <col min="1" max="1" width="19" customWidth="1"/>
    <col min="3" max="3" width="11.7109375" customWidth="1"/>
    <col min="4" max="4" width="10.42578125" customWidth="1"/>
    <col min="5" max="5" width="13" customWidth="1"/>
    <col min="6" max="6" width="11.42578125" bestFit="1" customWidth="1"/>
    <col min="8" max="8" width="11.140625" style="22" customWidth="1"/>
    <col min="10" max="10" width="12.5703125" customWidth="1"/>
    <col min="12" max="12" width="14.42578125" customWidth="1"/>
  </cols>
  <sheetData>
    <row r="1" spans="1:12" ht="15.75" thickBot="1" x14ac:dyDescent="0.3">
      <c r="A1" s="18" t="s">
        <v>5</v>
      </c>
      <c r="B1" s="19" t="s">
        <v>36</v>
      </c>
      <c r="C1" s="19" t="s">
        <v>35</v>
      </c>
      <c r="D1" s="19" t="s">
        <v>34</v>
      </c>
      <c r="E1" s="20" t="s">
        <v>33</v>
      </c>
      <c r="F1" s="19" t="s">
        <v>38</v>
      </c>
      <c r="H1" s="21" t="s">
        <v>41</v>
      </c>
      <c r="J1" t="s">
        <v>49</v>
      </c>
      <c r="L1" t="s">
        <v>78</v>
      </c>
    </row>
    <row r="2" spans="1:12" x14ac:dyDescent="0.25">
      <c r="A2" s="15" t="s">
        <v>32</v>
      </c>
      <c r="B2" s="16" t="s">
        <v>31</v>
      </c>
      <c r="C2" s="16" t="s">
        <v>30</v>
      </c>
      <c r="D2" s="16" t="s">
        <v>79</v>
      </c>
      <c r="E2" s="17" t="s">
        <v>29</v>
      </c>
      <c r="F2" s="16" t="s">
        <v>66</v>
      </c>
      <c r="H2" s="21">
        <v>0.01</v>
      </c>
      <c r="J2" t="s">
        <v>50</v>
      </c>
      <c r="L2" t="s">
        <v>93</v>
      </c>
    </row>
    <row r="3" spans="1:12" x14ac:dyDescent="0.25">
      <c r="A3" s="15" t="s">
        <v>20</v>
      </c>
      <c r="B3" s="16" t="s">
        <v>28</v>
      </c>
      <c r="C3" s="16" t="s">
        <v>27</v>
      </c>
      <c r="D3" s="16" t="s">
        <v>80</v>
      </c>
      <c r="E3" s="17" t="s">
        <v>26</v>
      </c>
      <c r="F3" s="16" t="s">
        <v>67</v>
      </c>
      <c r="H3" s="21">
        <v>0.02</v>
      </c>
      <c r="J3" t="s">
        <v>51</v>
      </c>
      <c r="L3" t="s">
        <v>104</v>
      </c>
    </row>
    <row r="4" spans="1:12" x14ac:dyDescent="0.25">
      <c r="A4" s="15" t="s">
        <v>25</v>
      </c>
      <c r="B4" s="16" t="s">
        <v>24</v>
      </c>
      <c r="C4" s="16" t="s">
        <v>23</v>
      </c>
      <c r="D4" s="16" t="s">
        <v>81</v>
      </c>
      <c r="E4" s="17" t="s">
        <v>37</v>
      </c>
      <c r="F4" s="16" t="s">
        <v>68</v>
      </c>
      <c r="H4" s="21">
        <v>0.03</v>
      </c>
    </row>
    <row r="5" spans="1:12" x14ac:dyDescent="0.25">
      <c r="A5" s="15" t="s">
        <v>22</v>
      </c>
      <c r="B5" s="16"/>
      <c r="C5" s="16" t="s">
        <v>21</v>
      </c>
      <c r="D5" s="16" t="s">
        <v>82</v>
      </c>
      <c r="E5" s="17"/>
      <c r="F5" s="16" t="s">
        <v>69</v>
      </c>
      <c r="H5" s="21">
        <v>0.04</v>
      </c>
    </row>
    <row r="6" spans="1:12" x14ac:dyDescent="0.25">
      <c r="A6" s="15" t="s">
        <v>18</v>
      </c>
      <c r="B6" s="16"/>
      <c r="C6" s="16" t="s">
        <v>85</v>
      </c>
      <c r="D6" s="16" t="s">
        <v>83</v>
      </c>
      <c r="E6" s="17"/>
      <c r="F6" s="16" t="s">
        <v>70</v>
      </c>
      <c r="H6" s="21">
        <v>0.05</v>
      </c>
    </row>
    <row r="7" spans="1:12" x14ac:dyDescent="0.25">
      <c r="A7" s="15" t="s">
        <v>90</v>
      </c>
      <c r="B7" s="16"/>
      <c r="C7" s="16" t="s">
        <v>86</v>
      </c>
      <c r="D7" s="16" t="s">
        <v>84</v>
      </c>
      <c r="E7" s="17"/>
      <c r="F7" s="16" t="s">
        <v>71</v>
      </c>
      <c r="H7" s="21">
        <v>0.06</v>
      </c>
    </row>
    <row r="8" spans="1:12" x14ac:dyDescent="0.25">
      <c r="A8" s="15" t="s">
        <v>34</v>
      </c>
      <c r="B8" s="16"/>
      <c r="C8" s="16" t="s">
        <v>19</v>
      </c>
      <c r="D8" s="16"/>
      <c r="E8" s="17"/>
      <c r="F8" s="16" t="s">
        <v>72</v>
      </c>
      <c r="H8" s="21">
        <v>7.0000000000000007E-2</v>
      </c>
    </row>
    <row r="9" spans="1:12" x14ac:dyDescent="0.25">
      <c r="A9" s="15" t="s">
        <v>89</v>
      </c>
      <c r="B9" s="16"/>
      <c r="C9" s="16" t="s">
        <v>17</v>
      </c>
      <c r="D9" s="16"/>
      <c r="E9" s="17"/>
      <c r="F9" s="16" t="s">
        <v>73</v>
      </c>
      <c r="H9" s="21">
        <v>0.08</v>
      </c>
    </row>
    <row r="10" spans="1:12" x14ac:dyDescent="0.25">
      <c r="A10" s="15"/>
      <c r="B10" s="16"/>
      <c r="C10" s="16" t="s">
        <v>16</v>
      </c>
      <c r="D10" s="16"/>
      <c r="E10" s="17"/>
      <c r="F10" s="16" t="s">
        <v>74</v>
      </c>
      <c r="H10" s="21">
        <v>0.09</v>
      </c>
    </row>
    <row r="11" spans="1:12" x14ac:dyDescent="0.25">
      <c r="A11" s="15"/>
      <c r="B11" s="16"/>
      <c r="C11" s="16" t="s">
        <v>15</v>
      </c>
      <c r="D11" s="16"/>
      <c r="E11" s="17"/>
      <c r="F11" s="16" t="s">
        <v>75</v>
      </c>
      <c r="H11" s="21">
        <v>0.1</v>
      </c>
    </row>
    <row r="12" spans="1:12" x14ac:dyDescent="0.25">
      <c r="A12" s="15"/>
      <c r="B12" s="16"/>
      <c r="C12" s="16" t="s">
        <v>87</v>
      </c>
      <c r="D12" s="16"/>
      <c r="E12" s="17"/>
      <c r="F12" s="16" t="s">
        <v>77</v>
      </c>
      <c r="H12" s="21">
        <v>0.11</v>
      </c>
    </row>
    <row r="13" spans="1:12" x14ac:dyDescent="0.25">
      <c r="A13" s="15"/>
      <c r="B13" s="16"/>
      <c r="C13" s="16" t="s">
        <v>88</v>
      </c>
      <c r="D13" s="16"/>
      <c r="E13" s="17"/>
      <c r="F13" s="16" t="s">
        <v>76</v>
      </c>
      <c r="H13" s="21">
        <v>0.12</v>
      </c>
    </row>
    <row r="14" spans="1:12" x14ac:dyDescent="0.25">
      <c r="H14" s="21">
        <v>0.13</v>
      </c>
    </row>
    <row r="15" spans="1:12" x14ac:dyDescent="0.25">
      <c r="H15" s="21">
        <v>0.14000000000000001</v>
      </c>
    </row>
    <row r="16" spans="1:12" x14ac:dyDescent="0.25">
      <c r="H16" s="21">
        <v>0.15</v>
      </c>
    </row>
    <row r="17" spans="8:8" x14ac:dyDescent="0.25">
      <c r="H17" s="21">
        <v>0.16</v>
      </c>
    </row>
    <row r="18" spans="8:8" x14ac:dyDescent="0.25">
      <c r="H18" s="21">
        <v>0.17</v>
      </c>
    </row>
    <row r="19" spans="8:8" x14ac:dyDescent="0.25">
      <c r="H19" s="21">
        <v>0.18</v>
      </c>
    </row>
    <row r="20" spans="8:8" x14ac:dyDescent="0.25">
      <c r="H20" s="21">
        <v>0.19</v>
      </c>
    </row>
    <row r="21" spans="8:8" x14ac:dyDescent="0.25">
      <c r="H21" s="21">
        <v>0.2</v>
      </c>
    </row>
    <row r="22" spans="8:8" x14ac:dyDescent="0.25">
      <c r="H22" s="21">
        <v>0.21</v>
      </c>
    </row>
    <row r="23" spans="8:8" x14ac:dyDescent="0.25">
      <c r="H23" s="21">
        <v>0.22</v>
      </c>
    </row>
    <row r="24" spans="8:8" x14ac:dyDescent="0.25">
      <c r="H24" s="21">
        <v>0.23</v>
      </c>
    </row>
    <row r="25" spans="8:8" x14ac:dyDescent="0.25">
      <c r="H25" s="21">
        <v>0.24</v>
      </c>
    </row>
    <row r="26" spans="8:8" x14ac:dyDescent="0.25">
      <c r="H26" s="21">
        <v>0.25</v>
      </c>
    </row>
    <row r="27" spans="8:8" x14ac:dyDescent="0.25">
      <c r="H27" s="21">
        <v>0.26</v>
      </c>
    </row>
    <row r="28" spans="8:8" x14ac:dyDescent="0.25">
      <c r="H28" s="21">
        <v>0.27</v>
      </c>
    </row>
    <row r="29" spans="8:8" x14ac:dyDescent="0.25">
      <c r="H29" s="21">
        <v>0.28000000000000003</v>
      </c>
    </row>
    <row r="30" spans="8:8" x14ac:dyDescent="0.25">
      <c r="H30" s="21">
        <v>0.28999999999999998</v>
      </c>
    </row>
    <row r="31" spans="8:8" x14ac:dyDescent="0.25">
      <c r="H31" s="21">
        <v>0.3</v>
      </c>
    </row>
    <row r="32" spans="8:8" x14ac:dyDescent="0.25">
      <c r="H32" s="21">
        <v>0.31</v>
      </c>
    </row>
    <row r="33" spans="8:8" x14ac:dyDescent="0.25">
      <c r="H33" s="21">
        <v>0.32</v>
      </c>
    </row>
    <row r="34" spans="8:8" x14ac:dyDescent="0.25">
      <c r="H34" s="21">
        <v>0.33</v>
      </c>
    </row>
    <row r="35" spans="8:8" x14ac:dyDescent="0.25">
      <c r="H35" s="21">
        <v>0.34</v>
      </c>
    </row>
    <row r="36" spans="8:8" x14ac:dyDescent="0.25">
      <c r="H36" s="21">
        <v>0.35</v>
      </c>
    </row>
    <row r="37" spans="8:8" x14ac:dyDescent="0.25">
      <c r="H37" s="21">
        <v>0.36</v>
      </c>
    </row>
    <row r="38" spans="8:8" x14ac:dyDescent="0.25">
      <c r="H38" s="21">
        <v>0.37</v>
      </c>
    </row>
    <row r="39" spans="8:8" x14ac:dyDescent="0.25">
      <c r="H39" s="21">
        <v>0.38</v>
      </c>
    </row>
    <row r="40" spans="8:8" x14ac:dyDescent="0.25">
      <c r="H40" s="21">
        <v>0.39</v>
      </c>
    </row>
    <row r="41" spans="8:8" x14ac:dyDescent="0.25">
      <c r="H41" s="21">
        <v>0.4</v>
      </c>
    </row>
    <row r="42" spans="8:8" x14ac:dyDescent="0.25">
      <c r="H42" s="21">
        <v>0.41</v>
      </c>
    </row>
    <row r="43" spans="8:8" x14ac:dyDescent="0.25">
      <c r="H43" s="21">
        <v>0.42</v>
      </c>
    </row>
    <row r="44" spans="8:8" x14ac:dyDescent="0.25">
      <c r="H44" s="21">
        <v>0.43</v>
      </c>
    </row>
    <row r="45" spans="8:8" x14ac:dyDescent="0.25">
      <c r="H45" s="21">
        <v>0.44</v>
      </c>
    </row>
    <row r="46" spans="8:8" x14ac:dyDescent="0.25">
      <c r="H46" s="21">
        <v>0.45</v>
      </c>
    </row>
    <row r="47" spans="8:8" x14ac:dyDescent="0.25">
      <c r="H47" s="21">
        <v>0.46</v>
      </c>
    </row>
    <row r="48" spans="8:8" x14ac:dyDescent="0.25">
      <c r="H48" s="21">
        <v>0.47</v>
      </c>
    </row>
    <row r="49" spans="8:8" x14ac:dyDescent="0.25">
      <c r="H49" s="21">
        <v>0.48</v>
      </c>
    </row>
    <row r="50" spans="8:8" x14ac:dyDescent="0.25">
      <c r="H50" s="21">
        <v>0.49</v>
      </c>
    </row>
    <row r="51" spans="8:8" x14ac:dyDescent="0.25">
      <c r="H51" s="21">
        <v>0.5</v>
      </c>
    </row>
    <row r="52" spans="8:8" x14ac:dyDescent="0.25">
      <c r="H52" s="21">
        <v>0.51</v>
      </c>
    </row>
    <row r="53" spans="8:8" x14ac:dyDescent="0.25">
      <c r="H53" s="21">
        <v>0.52</v>
      </c>
    </row>
    <row r="54" spans="8:8" x14ac:dyDescent="0.25">
      <c r="H54" s="21">
        <v>0.53</v>
      </c>
    </row>
    <row r="55" spans="8:8" x14ac:dyDescent="0.25">
      <c r="H55" s="21">
        <v>0.54</v>
      </c>
    </row>
    <row r="56" spans="8:8" x14ac:dyDescent="0.25">
      <c r="H56" s="21">
        <v>0.55000000000000004</v>
      </c>
    </row>
    <row r="57" spans="8:8" x14ac:dyDescent="0.25">
      <c r="H57" s="21">
        <v>0.56000000000000005</v>
      </c>
    </row>
    <row r="58" spans="8:8" x14ac:dyDescent="0.25">
      <c r="H58" s="21">
        <v>0.56999999999999995</v>
      </c>
    </row>
    <row r="59" spans="8:8" x14ac:dyDescent="0.25">
      <c r="H59" s="21">
        <v>0.57999999999999996</v>
      </c>
    </row>
    <row r="60" spans="8:8" x14ac:dyDescent="0.25">
      <c r="H60" s="21">
        <v>0.59</v>
      </c>
    </row>
    <row r="61" spans="8:8" x14ac:dyDescent="0.25">
      <c r="H61" s="21">
        <v>0.6</v>
      </c>
    </row>
    <row r="62" spans="8:8" x14ac:dyDescent="0.25">
      <c r="H62" s="21">
        <v>0.61</v>
      </c>
    </row>
    <row r="63" spans="8:8" x14ac:dyDescent="0.25">
      <c r="H63" s="21">
        <v>0.62</v>
      </c>
    </row>
    <row r="64" spans="8:8" x14ac:dyDescent="0.25">
      <c r="H64" s="21">
        <v>0.63</v>
      </c>
    </row>
    <row r="65" spans="8:8" x14ac:dyDescent="0.25">
      <c r="H65" s="21">
        <v>0.64</v>
      </c>
    </row>
    <row r="66" spans="8:8" x14ac:dyDescent="0.25">
      <c r="H66" s="21">
        <v>0.65</v>
      </c>
    </row>
    <row r="67" spans="8:8" x14ac:dyDescent="0.25">
      <c r="H67" s="21">
        <v>0.66</v>
      </c>
    </row>
    <row r="68" spans="8:8" x14ac:dyDescent="0.25">
      <c r="H68" s="21">
        <v>0.67</v>
      </c>
    </row>
    <row r="69" spans="8:8" x14ac:dyDescent="0.25">
      <c r="H69" s="21">
        <v>0.68</v>
      </c>
    </row>
    <row r="70" spans="8:8" x14ac:dyDescent="0.25">
      <c r="H70" s="21">
        <v>0.69</v>
      </c>
    </row>
    <row r="71" spans="8:8" x14ac:dyDescent="0.25">
      <c r="H71" s="21">
        <v>0.7</v>
      </c>
    </row>
    <row r="72" spans="8:8" x14ac:dyDescent="0.25">
      <c r="H72" s="21">
        <v>0.71</v>
      </c>
    </row>
    <row r="73" spans="8:8" x14ac:dyDescent="0.25">
      <c r="H73" s="21">
        <v>0.72</v>
      </c>
    </row>
    <row r="74" spans="8:8" x14ac:dyDescent="0.25">
      <c r="H74" s="21">
        <v>0.73</v>
      </c>
    </row>
    <row r="75" spans="8:8" x14ac:dyDescent="0.25">
      <c r="H75" s="21">
        <v>0.74</v>
      </c>
    </row>
    <row r="76" spans="8:8" x14ac:dyDescent="0.25">
      <c r="H76" s="21">
        <v>0.75</v>
      </c>
    </row>
    <row r="77" spans="8:8" x14ac:dyDescent="0.25">
      <c r="H77" s="21">
        <v>0.76</v>
      </c>
    </row>
    <row r="78" spans="8:8" x14ac:dyDescent="0.25">
      <c r="H78" s="21">
        <v>0.77</v>
      </c>
    </row>
    <row r="79" spans="8:8" x14ac:dyDescent="0.25">
      <c r="H79" s="21">
        <v>0.78</v>
      </c>
    </row>
    <row r="80" spans="8:8" x14ac:dyDescent="0.25">
      <c r="H80" s="21">
        <v>0.79</v>
      </c>
    </row>
    <row r="81" spans="8:8" x14ac:dyDescent="0.25">
      <c r="H81" s="21">
        <v>0.8</v>
      </c>
    </row>
    <row r="82" spans="8:8" x14ac:dyDescent="0.25">
      <c r="H82" s="21">
        <v>0.81</v>
      </c>
    </row>
    <row r="83" spans="8:8" x14ac:dyDescent="0.25">
      <c r="H83" s="21">
        <v>0.82</v>
      </c>
    </row>
    <row r="84" spans="8:8" x14ac:dyDescent="0.25">
      <c r="H84" s="21">
        <v>0.83</v>
      </c>
    </row>
    <row r="85" spans="8:8" x14ac:dyDescent="0.25">
      <c r="H85" s="21">
        <v>0.84</v>
      </c>
    </row>
    <row r="86" spans="8:8" x14ac:dyDescent="0.25">
      <c r="H86" s="21">
        <v>0.85</v>
      </c>
    </row>
    <row r="87" spans="8:8" x14ac:dyDescent="0.25">
      <c r="H87" s="21">
        <v>0.86</v>
      </c>
    </row>
    <row r="88" spans="8:8" x14ac:dyDescent="0.25">
      <c r="H88" s="21">
        <v>0.87</v>
      </c>
    </row>
    <row r="89" spans="8:8" x14ac:dyDescent="0.25">
      <c r="H89" s="21">
        <v>0.88</v>
      </c>
    </row>
    <row r="90" spans="8:8" x14ac:dyDescent="0.25">
      <c r="H90" s="21">
        <v>0.89</v>
      </c>
    </row>
    <row r="91" spans="8:8" x14ac:dyDescent="0.25">
      <c r="H91" s="21">
        <v>0.9</v>
      </c>
    </row>
    <row r="92" spans="8:8" x14ac:dyDescent="0.25">
      <c r="H92" s="21">
        <v>0.91</v>
      </c>
    </row>
    <row r="93" spans="8:8" x14ac:dyDescent="0.25">
      <c r="H93" s="21">
        <v>0.92</v>
      </c>
    </row>
    <row r="94" spans="8:8" x14ac:dyDescent="0.25">
      <c r="H94" s="21">
        <v>0.93</v>
      </c>
    </row>
    <row r="95" spans="8:8" x14ac:dyDescent="0.25">
      <c r="H95" s="21">
        <v>0.94</v>
      </c>
    </row>
    <row r="96" spans="8:8" x14ac:dyDescent="0.25">
      <c r="H96" s="21">
        <v>0.95</v>
      </c>
    </row>
    <row r="97" spans="8:8" x14ac:dyDescent="0.25">
      <c r="H97" s="21">
        <v>0.96</v>
      </c>
    </row>
    <row r="98" spans="8:8" x14ac:dyDescent="0.25">
      <c r="H98" s="21">
        <v>0.97</v>
      </c>
    </row>
    <row r="99" spans="8:8" x14ac:dyDescent="0.25">
      <c r="H99" s="21">
        <v>0.98</v>
      </c>
    </row>
    <row r="100" spans="8:8" x14ac:dyDescent="0.25">
      <c r="H100" s="21">
        <v>0.99</v>
      </c>
    </row>
    <row r="101" spans="8:8" x14ac:dyDescent="0.25">
      <c r="H101" s="21">
        <v>1</v>
      </c>
    </row>
  </sheetData>
  <phoneticPr fontId="6" type="noConversion"/>
  <pageMargins left="0.70866141732283472" right="0.31496062992125984" top="0.31496062992125984" bottom="0.31496062992125984" header="0" footer="0"/>
  <pageSetup paperSize="9" orientation="portrait" horizontalDpi="4294967293" verticalDpi="0" r:id="rId1"/>
  <tableParts count="4"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6E053-A06C-4AE7-8BB9-C075757C9472}">
  <sheetPr codeName="Sheet17">
    <tabColor rgb="FFFF0000"/>
  </sheetPr>
  <dimension ref="D2"/>
  <sheetViews>
    <sheetView workbookViewId="0">
      <selection activeCell="L24" sqref="L24"/>
    </sheetView>
  </sheetViews>
  <sheetFormatPr defaultRowHeight="15" x14ac:dyDescent="0.25"/>
  <sheetData>
    <row r="2" spans="4:4" x14ac:dyDescent="0.25">
      <c r="D2" s="89"/>
    </row>
  </sheetData>
  <pageMargins left="0.70866141732283472" right="0.31496062992125984" top="0.31496062992125984" bottom="0.31496062992125984" header="0" footer="0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Klasse Steuerfeld</vt:lpstr>
      <vt:lpstr>Prüfung Steuerfeld</vt:lpstr>
      <vt:lpstr>PrüfungÜbersichtVorlage</vt:lpstr>
      <vt:lpstr>PrüfungKlassenlisteVorlage</vt:lpstr>
      <vt:lpstr>PrüfungDeckblattVorlage</vt:lpstr>
      <vt:lpstr>KlassenbogenVorlage</vt:lpstr>
      <vt:lpstr>SchülerbogenVorlage</vt:lpstr>
      <vt:lpstr>JahresübersichtVorlage</vt:lpstr>
      <vt:lpstr>Datenbank</vt:lpstr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Fisch Earl-Geoffrey</dc:creator>
  <cp:lastModifiedBy>Earl-Geoffrey Fisch</cp:lastModifiedBy>
  <cp:lastPrinted>2023-09-22T11:55:21Z</cp:lastPrinted>
  <dcterms:created xsi:type="dcterms:W3CDTF">2023-09-02T17:22:23Z</dcterms:created>
  <dcterms:modified xsi:type="dcterms:W3CDTF">2023-09-22T16:27:48Z</dcterms:modified>
</cp:coreProperties>
</file>